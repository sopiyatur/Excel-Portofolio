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Budget Data" sheetId="2" state="visible" r:id="rId2"/>
    <sheet xmlns:r="http://schemas.openxmlformats.org/officeDocument/2006/relationships" name="Actual Data" sheetId="3" state="visible" r:id="rId3"/>
    <sheet xmlns:r="http://schemas.openxmlformats.org/officeDocument/2006/relationships" name="Variance Analysis" sheetId="4" state="visible" r:id="rId4"/>
    <sheet xmlns:r="http://schemas.openxmlformats.org/officeDocument/2006/relationships" name="Dashboard" sheetId="5" state="visible" r:id="rId5"/>
    <sheet xmlns:r="http://schemas.openxmlformats.org/officeDocument/2006/relationships" name="Financial Insigh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3">
    <fill>
      <patternFill/>
    </fill>
    <fill>
      <patternFill patternType="gray125"/>
    </fill>
    <fill>
      <patternFill patternType="solid">
        <fgColor rgb="00D4AF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8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BUDGET VS ACTUAL DASHBOARD</t>
        </is>
      </c>
    </row>
    <row r="4">
      <c r="A4" t="inlineStr">
        <is>
          <t>PT XYZ Indonesia</t>
        </is>
      </c>
    </row>
    <row r="5">
      <c r="A5" t="inlineStr">
        <is>
          <t>Period 2025</t>
        </is>
      </c>
    </row>
    <row r="7">
      <c r="A7" t="inlineStr">
        <is>
          <t>Prepared by</t>
        </is>
      </c>
    </row>
    <row r="8">
      <c r="A8" t="inlineStr">
        <is>
          <t>Siti Sopiyatur Rohmah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Bulan</t>
        </is>
      </c>
      <c r="B1" s="2" t="inlineStr">
        <is>
          <t>Kategori</t>
        </is>
      </c>
      <c r="C1" s="2" t="inlineStr">
        <is>
          <t>Budget</t>
        </is>
      </c>
    </row>
    <row r="2">
      <c r="A2" t="inlineStr">
        <is>
          <t>Januari</t>
        </is>
      </c>
      <c r="B2" t="inlineStr">
        <is>
          <t>Gaji</t>
        </is>
      </c>
      <c r="C2" t="n">
        <v>50000000</v>
      </c>
    </row>
    <row r="3">
      <c r="A3" t="inlineStr">
        <is>
          <t>Januari</t>
        </is>
      </c>
      <c r="B3" t="inlineStr">
        <is>
          <t>Listrik</t>
        </is>
      </c>
      <c r="C3" t="n">
        <v>6000000</v>
      </c>
    </row>
    <row r="4">
      <c r="A4" t="inlineStr">
        <is>
          <t>Januari</t>
        </is>
      </c>
      <c r="B4" t="inlineStr">
        <is>
          <t>Air</t>
        </is>
      </c>
      <c r="C4" t="n">
        <v>2000000</v>
      </c>
    </row>
    <row r="5">
      <c r="A5" t="inlineStr">
        <is>
          <t>Januari</t>
        </is>
      </c>
      <c r="B5" t="inlineStr">
        <is>
          <t>Internet</t>
        </is>
      </c>
      <c r="C5" t="n">
        <v>1500000</v>
      </c>
    </row>
    <row r="6">
      <c r="A6" t="inlineStr">
        <is>
          <t>Januari</t>
        </is>
      </c>
      <c r="B6" t="inlineStr">
        <is>
          <t>ATK</t>
        </is>
      </c>
      <c r="C6" t="n">
        <v>3000000</v>
      </c>
    </row>
    <row r="7">
      <c r="A7" t="inlineStr">
        <is>
          <t>Januari</t>
        </is>
      </c>
      <c r="B7" t="inlineStr">
        <is>
          <t>Transportasi</t>
        </is>
      </c>
      <c r="C7" t="n">
        <v>4000000</v>
      </c>
    </row>
    <row r="8">
      <c r="A8" t="inlineStr">
        <is>
          <t>Januari</t>
        </is>
      </c>
      <c r="B8" t="inlineStr">
        <is>
          <t>Marketing</t>
        </is>
      </c>
      <c r="C8" t="n">
        <v>10000000</v>
      </c>
    </row>
    <row r="9">
      <c r="A9" t="inlineStr">
        <is>
          <t>Januari</t>
        </is>
      </c>
      <c r="B9" t="inlineStr">
        <is>
          <t>Maintenance</t>
        </is>
      </c>
      <c r="C9" t="n">
        <v>5000000</v>
      </c>
    </row>
    <row r="10">
      <c r="A10" t="inlineStr">
        <is>
          <t>Februari</t>
        </is>
      </c>
      <c r="B10" t="inlineStr">
        <is>
          <t>Gaji</t>
        </is>
      </c>
      <c r="C10" t="n">
        <v>50000000</v>
      </c>
    </row>
    <row r="11">
      <c r="A11" t="inlineStr">
        <is>
          <t>Februari</t>
        </is>
      </c>
      <c r="B11" t="inlineStr">
        <is>
          <t>Listrik</t>
        </is>
      </c>
      <c r="C11" t="n">
        <v>6000000</v>
      </c>
    </row>
    <row r="12">
      <c r="A12" t="inlineStr">
        <is>
          <t>Februari</t>
        </is>
      </c>
      <c r="B12" t="inlineStr">
        <is>
          <t>Air</t>
        </is>
      </c>
      <c r="C12" t="n">
        <v>2000000</v>
      </c>
    </row>
    <row r="13">
      <c r="A13" t="inlineStr">
        <is>
          <t>Februari</t>
        </is>
      </c>
      <c r="B13" t="inlineStr">
        <is>
          <t>Internet</t>
        </is>
      </c>
      <c r="C13" t="n">
        <v>1500000</v>
      </c>
    </row>
    <row r="14">
      <c r="A14" t="inlineStr">
        <is>
          <t>Februari</t>
        </is>
      </c>
      <c r="B14" t="inlineStr">
        <is>
          <t>ATK</t>
        </is>
      </c>
      <c r="C14" t="n">
        <v>3000000</v>
      </c>
    </row>
    <row r="15">
      <c r="A15" t="inlineStr">
        <is>
          <t>Februari</t>
        </is>
      </c>
      <c r="B15" t="inlineStr">
        <is>
          <t>Transportasi</t>
        </is>
      </c>
      <c r="C15" t="n">
        <v>4000000</v>
      </c>
    </row>
    <row r="16">
      <c r="A16" t="inlineStr">
        <is>
          <t>Februari</t>
        </is>
      </c>
      <c r="B16" t="inlineStr">
        <is>
          <t>Marketing</t>
        </is>
      </c>
      <c r="C16" t="n">
        <v>10000000</v>
      </c>
    </row>
    <row r="17">
      <c r="A17" t="inlineStr">
        <is>
          <t>Februari</t>
        </is>
      </c>
      <c r="B17" t="inlineStr">
        <is>
          <t>Maintenance</t>
        </is>
      </c>
      <c r="C17" t="n">
        <v>5000000</v>
      </c>
    </row>
    <row r="18">
      <c r="A18" t="inlineStr">
        <is>
          <t>Maret</t>
        </is>
      </c>
      <c r="B18" t="inlineStr">
        <is>
          <t>Gaji</t>
        </is>
      </c>
      <c r="C18" t="n">
        <v>50000000</v>
      </c>
    </row>
    <row r="19">
      <c r="A19" t="inlineStr">
        <is>
          <t>Maret</t>
        </is>
      </c>
      <c r="B19" t="inlineStr">
        <is>
          <t>Listrik</t>
        </is>
      </c>
      <c r="C19" t="n">
        <v>6000000</v>
      </c>
    </row>
    <row r="20">
      <c r="A20" t="inlineStr">
        <is>
          <t>Maret</t>
        </is>
      </c>
      <c r="B20" t="inlineStr">
        <is>
          <t>Air</t>
        </is>
      </c>
      <c r="C20" t="n">
        <v>2000000</v>
      </c>
    </row>
    <row r="21">
      <c r="A21" t="inlineStr">
        <is>
          <t>Maret</t>
        </is>
      </c>
      <c r="B21" t="inlineStr">
        <is>
          <t>Internet</t>
        </is>
      </c>
      <c r="C21" t="n">
        <v>1500000</v>
      </c>
    </row>
    <row r="22">
      <c r="A22" t="inlineStr">
        <is>
          <t>Maret</t>
        </is>
      </c>
      <c r="B22" t="inlineStr">
        <is>
          <t>ATK</t>
        </is>
      </c>
      <c r="C22" t="n">
        <v>3000000</v>
      </c>
    </row>
    <row r="23">
      <c r="A23" t="inlineStr">
        <is>
          <t>Maret</t>
        </is>
      </c>
      <c r="B23" t="inlineStr">
        <is>
          <t>Transportasi</t>
        </is>
      </c>
      <c r="C23" t="n">
        <v>4000000</v>
      </c>
    </row>
    <row r="24">
      <c r="A24" t="inlineStr">
        <is>
          <t>Maret</t>
        </is>
      </c>
      <c r="B24" t="inlineStr">
        <is>
          <t>Marketing</t>
        </is>
      </c>
      <c r="C24" t="n">
        <v>10000000</v>
      </c>
    </row>
    <row r="25">
      <c r="A25" t="inlineStr">
        <is>
          <t>Maret</t>
        </is>
      </c>
      <c r="B25" t="inlineStr">
        <is>
          <t>Maintenance</t>
        </is>
      </c>
      <c r="C25" t="n">
        <v>5000000</v>
      </c>
    </row>
    <row r="26">
      <c r="A26" t="inlineStr">
        <is>
          <t>April</t>
        </is>
      </c>
      <c r="B26" t="inlineStr">
        <is>
          <t>Gaji</t>
        </is>
      </c>
      <c r="C26" t="n">
        <v>50000000</v>
      </c>
    </row>
    <row r="27">
      <c r="A27" t="inlineStr">
        <is>
          <t>April</t>
        </is>
      </c>
      <c r="B27" t="inlineStr">
        <is>
          <t>Listrik</t>
        </is>
      </c>
      <c r="C27" t="n">
        <v>6000000</v>
      </c>
    </row>
    <row r="28">
      <c r="A28" t="inlineStr">
        <is>
          <t>April</t>
        </is>
      </c>
      <c r="B28" t="inlineStr">
        <is>
          <t>Air</t>
        </is>
      </c>
      <c r="C28" t="n">
        <v>2000000</v>
      </c>
    </row>
    <row r="29">
      <c r="A29" t="inlineStr">
        <is>
          <t>April</t>
        </is>
      </c>
      <c r="B29" t="inlineStr">
        <is>
          <t>Internet</t>
        </is>
      </c>
      <c r="C29" t="n">
        <v>1500000</v>
      </c>
    </row>
    <row r="30">
      <c r="A30" t="inlineStr">
        <is>
          <t>April</t>
        </is>
      </c>
      <c r="B30" t="inlineStr">
        <is>
          <t>ATK</t>
        </is>
      </c>
      <c r="C30" t="n">
        <v>3000000</v>
      </c>
    </row>
    <row r="31">
      <c r="A31" t="inlineStr">
        <is>
          <t>April</t>
        </is>
      </c>
      <c r="B31" t="inlineStr">
        <is>
          <t>Transportasi</t>
        </is>
      </c>
      <c r="C31" t="n">
        <v>4000000</v>
      </c>
    </row>
    <row r="32">
      <c r="A32" t="inlineStr">
        <is>
          <t>April</t>
        </is>
      </c>
      <c r="B32" t="inlineStr">
        <is>
          <t>Marketing</t>
        </is>
      </c>
      <c r="C32" t="n">
        <v>10000000</v>
      </c>
    </row>
    <row r="33">
      <c r="A33" t="inlineStr">
        <is>
          <t>April</t>
        </is>
      </c>
      <c r="B33" t="inlineStr">
        <is>
          <t>Maintenance</t>
        </is>
      </c>
      <c r="C33" t="n">
        <v>5000000</v>
      </c>
    </row>
    <row r="34">
      <c r="A34" t="inlineStr">
        <is>
          <t>Mei</t>
        </is>
      </c>
      <c r="B34" t="inlineStr">
        <is>
          <t>Gaji</t>
        </is>
      </c>
      <c r="C34" t="n">
        <v>50000000</v>
      </c>
    </row>
    <row r="35">
      <c r="A35" t="inlineStr">
        <is>
          <t>Mei</t>
        </is>
      </c>
      <c r="B35" t="inlineStr">
        <is>
          <t>Listrik</t>
        </is>
      </c>
      <c r="C35" t="n">
        <v>6000000</v>
      </c>
    </row>
    <row r="36">
      <c r="A36" t="inlineStr">
        <is>
          <t>Mei</t>
        </is>
      </c>
      <c r="B36" t="inlineStr">
        <is>
          <t>Air</t>
        </is>
      </c>
      <c r="C36" t="n">
        <v>2000000</v>
      </c>
    </row>
    <row r="37">
      <c r="A37" t="inlineStr">
        <is>
          <t>Mei</t>
        </is>
      </c>
      <c r="B37" t="inlineStr">
        <is>
          <t>Internet</t>
        </is>
      </c>
      <c r="C37" t="n">
        <v>1500000</v>
      </c>
    </row>
    <row r="38">
      <c r="A38" t="inlineStr">
        <is>
          <t>Mei</t>
        </is>
      </c>
      <c r="B38" t="inlineStr">
        <is>
          <t>ATK</t>
        </is>
      </c>
      <c r="C38" t="n">
        <v>3000000</v>
      </c>
    </row>
    <row r="39">
      <c r="A39" t="inlineStr">
        <is>
          <t>Mei</t>
        </is>
      </c>
      <c r="B39" t="inlineStr">
        <is>
          <t>Transportasi</t>
        </is>
      </c>
      <c r="C39" t="n">
        <v>4000000</v>
      </c>
    </row>
    <row r="40">
      <c r="A40" t="inlineStr">
        <is>
          <t>Mei</t>
        </is>
      </c>
      <c r="B40" t="inlineStr">
        <is>
          <t>Marketing</t>
        </is>
      </c>
      <c r="C40" t="n">
        <v>10000000</v>
      </c>
    </row>
    <row r="41">
      <c r="A41" t="inlineStr">
        <is>
          <t>Mei</t>
        </is>
      </c>
      <c r="B41" t="inlineStr">
        <is>
          <t>Maintenance</t>
        </is>
      </c>
      <c r="C41" t="n">
        <v>5000000</v>
      </c>
    </row>
    <row r="42">
      <c r="A42" t="inlineStr">
        <is>
          <t>Juni</t>
        </is>
      </c>
      <c r="B42" t="inlineStr">
        <is>
          <t>Gaji</t>
        </is>
      </c>
      <c r="C42" t="n">
        <v>50000000</v>
      </c>
    </row>
    <row r="43">
      <c r="A43" t="inlineStr">
        <is>
          <t>Juni</t>
        </is>
      </c>
      <c r="B43" t="inlineStr">
        <is>
          <t>Listrik</t>
        </is>
      </c>
      <c r="C43" t="n">
        <v>6000000</v>
      </c>
    </row>
    <row r="44">
      <c r="A44" t="inlineStr">
        <is>
          <t>Juni</t>
        </is>
      </c>
      <c r="B44" t="inlineStr">
        <is>
          <t>Air</t>
        </is>
      </c>
      <c r="C44" t="n">
        <v>2000000</v>
      </c>
    </row>
    <row r="45">
      <c r="A45" t="inlineStr">
        <is>
          <t>Juni</t>
        </is>
      </c>
      <c r="B45" t="inlineStr">
        <is>
          <t>Internet</t>
        </is>
      </c>
      <c r="C45" t="n">
        <v>1500000</v>
      </c>
    </row>
    <row r="46">
      <c r="A46" t="inlineStr">
        <is>
          <t>Juni</t>
        </is>
      </c>
      <c r="B46" t="inlineStr">
        <is>
          <t>ATK</t>
        </is>
      </c>
      <c r="C46" t="n">
        <v>3000000</v>
      </c>
    </row>
    <row r="47">
      <c r="A47" t="inlineStr">
        <is>
          <t>Juni</t>
        </is>
      </c>
      <c r="B47" t="inlineStr">
        <is>
          <t>Transportasi</t>
        </is>
      </c>
      <c r="C47" t="n">
        <v>4000000</v>
      </c>
    </row>
    <row r="48">
      <c r="A48" t="inlineStr">
        <is>
          <t>Juni</t>
        </is>
      </c>
      <c r="B48" t="inlineStr">
        <is>
          <t>Marketing</t>
        </is>
      </c>
      <c r="C48" t="n">
        <v>10000000</v>
      </c>
    </row>
    <row r="49">
      <c r="A49" t="inlineStr">
        <is>
          <t>Juni</t>
        </is>
      </c>
      <c r="B49" t="inlineStr">
        <is>
          <t>Maintenance</t>
        </is>
      </c>
      <c r="C49" t="n">
        <v>5000000</v>
      </c>
    </row>
    <row r="50">
      <c r="A50" t="inlineStr">
        <is>
          <t>Juli</t>
        </is>
      </c>
      <c r="B50" t="inlineStr">
        <is>
          <t>Gaji</t>
        </is>
      </c>
      <c r="C50" t="n">
        <v>50000000</v>
      </c>
    </row>
    <row r="51">
      <c r="A51" t="inlineStr">
        <is>
          <t>Juli</t>
        </is>
      </c>
      <c r="B51" t="inlineStr">
        <is>
          <t>Listrik</t>
        </is>
      </c>
      <c r="C51" t="n">
        <v>6000000</v>
      </c>
    </row>
    <row r="52">
      <c r="A52" t="inlineStr">
        <is>
          <t>Juli</t>
        </is>
      </c>
      <c r="B52" t="inlineStr">
        <is>
          <t>Air</t>
        </is>
      </c>
      <c r="C52" t="n">
        <v>2000000</v>
      </c>
    </row>
    <row r="53">
      <c r="A53" t="inlineStr">
        <is>
          <t>Juli</t>
        </is>
      </c>
      <c r="B53" t="inlineStr">
        <is>
          <t>Internet</t>
        </is>
      </c>
      <c r="C53" t="n">
        <v>1500000</v>
      </c>
    </row>
    <row r="54">
      <c r="A54" t="inlineStr">
        <is>
          <t>Juli</t>
        </is>
      </c>
      <c r="B54" t="inlineStr">
        <is>
          <t>ATK</t>
        </is>
      </c>
      <c r="C54" t="n">
        <v>3000000</v>
      </c>
    </row>
    <row r="55">
      <c r="A55" t="inlineStr">
        <is>
          <t>Juli</t>
        </is>
      </c>
      <c r="B55" t="inlineStr">
        <is>
          <t>Transportasi</t>
        </is>
      </c>
      <c r="C55" t="n">
        <v>4000000</v>
      </c>
    </row>
    <row r="56">
      <c r="A56" t="inlineStr">
        <is>
          <t>Juli</t>
        </is>
      </c>
      <c r="B56" t="inlineStr">
        <is>
          <t>Marketing</t>
        </is>
      </c>
      <c r="C56" t="n">
        <v>10000000</v>
      </c>
    </row>
    <row r="57">
      <c r="A57" t="inlineStr">
        <is>
          <t>Juli</t>
        </is>
      </c>
      <c r="B57" t="inlineStr">
        <is>
          <t>Maintenance</t>
        </is>
      </c>
      <c r="C57" t="n">
        <v>5000000</v>
      </c>
    </row>
    <row r="58">
      <c r="A58" t="inlineStr">
        <is>
          <t>Agustus</t>
        </is>
      </c>
      <c r="B58" t="inlineStr">
        <is>
          <t>Gaji</t>
        </is>
      </c>
      <c r="C58" t="n">
        <v>50000000</v>
      </c>
    </row>
    <row r="59">
      <c r="A59" t="inlineStr">
        <is>
          <t>Agustus</t>
        </is>
      </c>
      <c r="B59" t="inlineStr">
        <is>
          <t>Listrik</t>
        </is>
      </c>
      <c r="C59" t="n">
        <v>6000000</v>
      </c>
    </row>
    <row r="60">
      <c r="A60" t="inlineStr">
        <is>
          <t>Agustus</t>
        </is>
      </c>
      <c r="B60" t="inlineStr">
        <is>
          <t>Air</t>
        </is>
      </c>
      <c r="C60" t="n">
        <v>2000000</v>
      </c>
    </row>
    <row r="61">
      <c r="A61" t="inlineStr">
        <is>
          <t>Agustus</t>
        </is>
      </c>
      <c r="B61" t="inlineStr">
        <is>
          <t>Internet</t>
        </is>
      </c>
      <c r="C61" t="n">
        <v>1500000</v>
      </c>
    </row>
    <row r="62">
      <c r="A62" t="inlineStr">
        <is>
          <t>Agustus</t>
        </is>
      </c>
      <c r="B62" t="inlineStr">
        <is>
          <t>ATK</t>
        </is>
      </c>
      <c r="C62" t="n">
        <v>3000000</v>
      </c>
    </row>
    <row r="63">
      <c r="A63" t="inlineStr">
        <is>
          <t>Agustus</t>
        </is>
      </c>
      <c r="B63" t="inlineStr">
        <is>
          <t>Transportasi</t>
        </is>
      </c>
      <c r="C63" t="n">
        <v>4000000</v>
      </c>
    </row>
    <row r="64">
      <c r="A64" t="inlineStr">
        <is>
          <t>Agustus</t>
        </is>
      </c>
      <c r="B64" t="inlineStr">
        <is>
          <t>Marketing</t>
        </is>
      </c>
      <c r="C64" t="n">
        <v>10000000</v>
      </c>
    </row>
    <row r="65">
      <c r="A65" t="inlineStr">
        <is>
          <t>Agustus</t>
        </is>
      </c>
      <c r="B65" t="inlineStr">
        <is>
          <t>Maintenance</t>
        </is>
      </c>
      <c r="C65" t="n">
        <v>5000000</v>
      </c>
    </row>
    <row r="66">
      <c r="A66" t="inlineStr">
        <is>
          <t>September</t>
        </is>
      </c>
      <c r="B66" t="inlineStr">
        <is>
          <t>Gaji</t>
        </is>
      </c>
      <c r="C66" t="n">
        <v>50000000</v>
      </c>
    </row>
    <row r="67">
      <c r="A67" t="inlineStr">
        <is>
          <t>September</t>
        </is>
      </c>
      <c r="B67" t="inlineStr">
        <is>
          <t>Listrik</t>
        </is>
      </c>
      <c r="C67" t="n">
        <v>6000000</v>
      </c>
    </row>
    <row r="68">
      <c r="A68" t="inlineStr">
        <is>
          <t>September</t>
        </is>
      </c>
      <c r="B68" t="inlineStr">
        <is>
          <t>Air</t>
        </is>
      </c>
      <c r="C68" t="n">
        <v>2000000</v>
      </c>
    </row>
    <row r="69">
      <c r="A69" t="inlineStr">
        <is>
          <t>September</t>
        </is>
      </c>
      <c r="B69" t="inlineStr">
        <is>
          <t>Internet</t>
        </is>
      </c>
      <c r="C69" t="n">
        <v>1500000</v>
      </c>
    </row>
    <row r="70">
      <c r="A70" t="inlineStr">
        <is>
          <t>September</t>
        </is>
      </c>
      <c r="B70" t="inlineStr">
        <is>
          <t>ATK</t>
        </is>
      </c>
      <c r="C70" t="n">
        <v>3000000</v>
      </c>
    </row>
    <row r="71">
      <c r="A71" t="inlineStr">
        <is>
          <t>September</t>
        </is>
      </c>
      <c r="B71" t="inlineStr">
        <is>
          <t>Transportasi</t>
        </is>
      </c>
      <c r="C71" t="n">
        <v>4000000</v>
      </c>
    </row>
    <row r="72">
      <c r="A72" t="inlineStr">
        <is>
          <t>September</t>
        </is>
      </c>
      <c r="B72" t="inlineStr">
        <is>
          <t>Marketing</t>
        </is>
      </c>
      <c r="C72" t="n">
        <v>10000000</v>
      </c>
    </row>
    <row r="73">
      <c r="A73" t="inlineStr">
        <is>
          <t>September</t>
        </is>
      </c>
      <c r="B73" t="inlineStr">
        <is>
          <t>Maintenance</t>
        </is>
      </c>
      <c r="C73" t="n">
        <v>5000000</v>
      </c>
    </row>
    <row r="74">
      <c r="A74" t="inlineStr">
        <is>
          <t>Oktober</t>
        </is>
      </c>
      <c r="B74" t="inlineStr">
        <is>
          <t>Gaji</t>
        </is>
      </c>
      <c r="C74" t="n">
        <v>50000000</v>
      </c>
    </row>
    <row r="75">
      <c r="A75" t="inlineStr">
        <is>
          <t>Oktober</t>
        </is>
      </c>
      <c r="B75" t="inlineStr">
        <is>
          <t>Listrik</t>
        </is>
      </c>
      <c r="C75" t="n">
        <v>6000000</v>
      </c>
    </row>
    <row r="76">
      <c r="A76" t="inlineStr">
        <is>
          <t>Oktober</t>
        </is>
      </c>
      <c r="B76" t="inlineStr">
        <is>
          <t>Air</t>
        </is>
      </c>
      <c r="C76" t="n">
        <v>2000000</v>
      </c>
    </row>
    <row r="77">
      <c r="A77" t="inlineStr">
        <is>
          <t>Oktober</t>
        </is>
      </c>
      <c r="B77" t="inlineStr">
        <is>
          <t>Internet</t>
        </is>
      </c>
      <c r="C77" t="n">
        <v>1500000</v>
      </c>
    </row>
    <row r="78">
      <c r="A78" t="inlineStr">
        <is>
          <t>Oktober</t>
        </is>
      </c>
      <c r="B78" t="inlineStr">
        <is>
          <t>ATK</t>
        </is>
      </c>
      <c r="C78" t="n">
        <v>3000000</v>
      </c>
    </row>
    <row r="79">
      <c r="A79" t="inlineStr">
        <is>
          <t>Oktober</t>
        </is>
      </c>
      <c r="B79" t="inlineStr">
        <is>
          <t>Transportasi</t>
        </is>
      </c>
      <c r="C79" t="n">
        <v>4000000</v>
      </c>
    </row>
    <row r="80">
      <c r="A80" t="inlineStr">
        <is>
          <t>Oktober</t>
        </is>
      </c>
      <c r="B80" t="inlineStr">
        <is>
          <t>Marketing</t>
        </is>
      </c>
      <c r="C80" t="n">
        <v>10000000</v>
      </c>
    </row>
    <row r="81">
      <c r="A81" t="inlineStr">
        <is>
          <t>Oktober</t>
        </is>
      </c>
      <c r="B81" t="inlineStr">
        <is>
          <t>Maintenance</t>
        </is>
      </c>
      <c r="C81" t="n">
        <v>5000000</v>
      </c>
    </row>
    <row r="82">
      <c r="A82" t="inlineStr">
        <is>
          <t>November</t>
        </is>
      </c>
      <c r="B82" t="inlineStr">
        <is>
          <t>Gaji</t>
        </is>
      </c>
      <c r="C82" t="n">
        <v>50000000</v>
      </c>
    </row>
    <row r="83">
      <c r="A83" t="inlineStr">
        <is>
          <t>November</t>
        </is>
      </c>
      <c r="B83" t="inlineStr">
        <is>
          <t>Listrik</t>
        </is>
      </c>
      <c r="C83" t="n">
        <v>6000000</v>
      </c>
    </row>
    <row r="84">
      <c r="A84" t="inlineStr">
        <is>
          <t>November</t>
        </is>
      </c>
      <c r="B84" t="inlineStr">
        <is>
          <t>Air</t>
        </is>
      </c>
      <c r="C84" t="n">
        <v>2000000</v>
      </c>
    </row>
    <row r="85">
      <c r="A85" t="inlineStr">
        <is>
          <t>November</t>
        </is>
      </c>
      <c r="B85" t="inlineStr">
        <is>
          <t>Internet</t>
        </is>
      </c>
      <c r="C85" t="n">
        <v>1500000</v>
      </c>
    </row>
    <row r="86">
      <c r="A86" t="inlineStr">
        <is>
          <t>November</t>
        </is>
      </c>
      <c r="B86" t="inlineStr">
        <is>
          <t>ATK</t>
        </is>
      </c>
      <c r="C86" t="n">
        <v>3000000</v>
      </c>
    </row>
    <row r="87">
      <c r="A87" t="inlineStr">
        <is>
          <t>November</t>
        </is>
      </c>
      <c r="B87" t="inlineStr">
        <is>
          <t>Transportasi</t>
        </is>
      </c>
      <c r="C87" t="n">
        <v>4000000</v>
      </c>
    </row>
    <row r="88">
      <c r="A88" t="inlineStr">
        <is>
          <t>November</t>
        </is>
      </c>
      <c r="B88" t="inlineStr">
        <is>
          <t>Marketing</t>
        </is>
      </c>
      <c r="C88" t="n">
        <v>10000000</v>
      </c>
    </row>
    <row r="89">
      <c r="A89" t="inlineStr">
        <is>
          <t>November</t>
        </is>
      </c>
      <c r="B89" t="inlineStr">
        <is>
          <t>Maintenance</t>
        </is>
      </c>
      <c r="C89" t="n">
        <v>5000000</v>
      </c>
    </row>
    <row r="90">
      <c r="A90" t="inlineStr">
        <is>
          <t>Desember</t>
        </is>
      </c>
      <c r="B90" t="inlineStr">
        <is>
          <t>Gaji</t>
        </is>
      </c>
      <c r="C90" t="n">
        <v>50000000</v>
      </c>
    </row>
    <row r="91">
      <c r="A91" t="inlineStr">
        <is>
          <t>Desember</t>
        </is>
      </c>
      <c r="B91" t="inlineStr">
        <is>
          <t>Listrik</t>
        </is>
      </c>
      <c r="C91" t="n">
        <v>6000000</v>
      </c>
    </row>
    <row r="92">
      <c r="A92" t="inlineStr">
        <is>
          <t>Desember</t>
        </is>
      </c>
      <c r="B92" t="inlineStr">
        <is>
          <t>Air</t>
        </is>
      </c>
      <c r="C92" t="n">
        <v>2000000</v>
      </c>
    </row>
    <row r="93">
      <c r="A93" t="inlineStr">
        <is>
          <t>Desember</t>
        </is>
      </c>
      <c r="B93" t="inlineStr">
        <is>
          <t>Internet</t>
        </is>
      </c>
      <c r="C93" t="n">
        <v>1500000</v>
      </c>
    </row>
    <row r="94">
      <c r="A94" t="inlineStr">
        <is>
          <t>Desember</t>
        </is>
      </c>
      <c r="B94" t="inlineStr">
        <is>
          <t>ATK</t>
        </is>
      </c>
      <c r="C94" t="n">
        <v>3000000</v>
      </c>
    </row>
    <row r="95">
      <c r="A95" t="inlineStr">
        <is>
          <t>Desember</t>
        </is>
      </c>
      <c r="B95" t="inlineStr">
        <is>
          <t>Transportasi</t>
        </is>
      </c>
      <c r="C95" t="n">
        <v>4000000</v>
      </c>
    </row>
    <row r="96">
      <c r="A96" t="inlineStr">
        <is>
          <t>Desember</t>
        </is>
      </c>
      <c r="B96" t="inlineStr">
        <is>
          <t>Marketing</t>
        </is>
      </c>
      <c r="C96" t="n">
        <v>10000000</v>
      </c>
    </row>
    <row r="97">
      <c r="A97" t="inlineStr">
        <is>
          <t>Desember</t>
        </is>
      </c>
      <c r="B97" t="inlineStr">
        <is>
          <t>Maintenance</t>
        </is>
      </c>
      <c r="C97" t="n">
        <v>5000000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Bulan</t>
        </is>
      </c>
      <c r="B1" s="2" t="inlineStr">
        <is>
          <t>Kategori</t>
        </is>
      </c>
      <c r="C1" s="2" t="inlineStr">
        <is>
          <t>Actual</t>
        </is>
      </c>
    </row>
    <row r="2">
      <c r="A2" t="inlineStr">
        <is>
          <t>Januari</t>
        </is>
      </c>
      <c r="B2" t="inlineStr">
        <is>
          <t>Gaji</t>
        </is>
      </c>
      <c r="C2" t="n">
        <v>47500000</v>
      </c>
    </row>
    <row r="3">
      <c r="A3" t="inlineStr">
        <is>
          <t>Januari</t>
        </is>
      </c>
      <c r="B3" t="inlineStr">
        <is>
          <t>Listrik</t>
        </is>
      </c>
      <c r="C3" t="n">
        <v>5760000</v>
      </c>
    </row>
    <row r="4">
      <c r="A4" t="inlineStr">
        <is>
          <t>Januari</t>
        </is>
      </c>
      <c r="B4" t="inlineStr">
        <is>
          <t>Air</t>
        </is>
      </c>
      <c r="C4" t="n">
        <v>1940000</v>
      </c>
    </row>
    <row r="5">
      <c r="A5" t="inlineStr">
        <is>
          <t>Januari</t>
        </is>
      </c>
      <c r="B5" t="inlineStr">
        <is>
          <t>Internet</t>
        </is>
      </c>
      <c r="C5" t="n">
        <v>1470000</v>
      </c>
    </row>
    <row r="6">
      <c r="A6" t="inlineStr">
        <is>
          <t>Januari</t>
        </is>
      </c>
      <c r="B6" t="inlineStr">
        <is>
          <t>ATK</t>
        </is>
      </c>
      <c r="C6" t="n">
        <v>2970000</v>
      </c>
    </row>
    <row r="7">
      <c r="A7" t="inlineStr">
        <is>
          <t>Januari</t>
        </is>
      </c>
      <c r="B7" t="inlineStr">
        <is>
          <t>Transportasi</t>
        </is>
      </c>
      <c r="C7" t="n">
        <v>4000000</v>
      </c>
    </row>
    <row r="8">
      <c r="A8" t="inlineStr">
        <is>
          <t>Januari</t>
        </is>
      </c>
      <c r="B8" t="inlineStr">
        <is>
          <t>Marketing</t>
        </is>
      </c>
      <c r="C8" t="n">
        <v>10100000</v>
      </c>
    </row>
    <row r="9">
      <c r="A9" t="inlineStr">
        <is>
          <t>Januari</t>
        </is>
      </c>
      <c r="B9" t="inlineStr">
        <is>
          <t>Maintenance</t>
        </is>
      </c>
      <c r="C9" t="n">
        <v>5100000</v>
      </c>
    </row>
    <row r="10">
      <c r="A10" t="inlineStr">
        <is>
          <t>Februari</t>
        </is>
      </c>
      <c r="B10" t="inlineStr">
        <is>
          <t>Gaji</t>
        </is>
      </c>
      <c r="C10" t="n">
        <v>48000000</v>
      </c>
    </row>
    <row r="11">
      <c r="A11" t="inlineStr">
        <is>
          <t>Februari</t>
        </is>
      </c>
      <c r="B11" t="inlineStr">
        <is>
          <t>Listrik</t>
        </is>
      </c>
      <c r="C11" t="n">
        <v>5820000</v>
      </c>
    </row>
    <row r="12">
      <c r="A12" t="inlineStr">
        <is>
          <t>Februari</t>
        </is>
      </c>
      <c r="B12" t="inlineStr">
        <is>
          <t>Air</t>
        </is>
      </c>
      <c r="C12" t="n">
        <v>1960000</v>
      </c>
    </row>
    <row r="13">
      <c r="A13" t="inlineStr">
        <is>
          <t>Februari</t>
        </is>
      </c>
      <c r="B13" t="inlineStr">
        <is>
          <t>Internet</t>
        </is>
      </c>
      <c r="C13" t="n">
        <v>1485000</v>
      </c>
    </row>
    <row r="14">
      <c r="A14" t="inlineStr">
        <is>
          <t>Februari</t>
        </is>
      </c>
      <c r="B14" t="inlineStr">
        <is>
          <t>ATK</t>
        </is>
      </c>
      <c r="C14" t="n">
        <v>3000000</v>
      </c>
    </row>
    <row r="15">
      <c r="A15" t="inlineStr">
        <is>
          <t>Februari</t>
        </is>
      </c>
      <c r="B15" t="inlineStr">
        <is>
          <t>Transportasi</t>
        </is>
      </c>
      <c r="C15" t="n">
        <v>4040000</v>
      </c>
    </row>
    <row r="16">
      <c r="A16" t="inlineStr">
        <is>
          <t>Februari</t>
        </is>
      </c>
      <c r="B16" t="inlineStr">
        <is>
          <t>Marketing</t>
        </is>
      </c>
      <c r="C16" t="n">
        <v>10200000</v>
      </c>
    </row>
    <row r="17">
      <c r="A17" t="inlineStr">
        <is>
          <t>Februari</t>
        </is>
      </c>
      <c r="B17" t="inlineStr">
        <is>
          <t>Maintenance</t>
        </is>
      </c>
      <c r="C17" t="n">
        <v>5150000</v>
      </c>
    </row>
    <row r="18">
      <c r="A18" t="inlineStr">
        <is>
          <t>Maret</t>
        </is>
      </c>
      <c r="B18" t="inlineStr">
        <is>
          <t>Gaji</t>
        </is>
      </c>
      <c r="C18" t="n">
        <v>48500000</v>
      </c>
    </row>
    <row r="19">
      <c r="A19" t="inlineStr">
        <is>
          <t>Maret</t>
        </is>
      </c>
      <c r="B19" t="inlineStr">
        <is>
          <t>Listrik</t>
        </is>
      </c>
      <c r="C19" t="n">
        <v>5880000</v>
      </c>
    </row>
    <row r="20">
      <c r="A20" t="inlineStr">
        <is>
          <t>Maret</t>
        </is>
      </c>
      <c r="B20" t="inlineStr">
        <is>
          <t>Air</t>
        </is>
      </c>
      <c r="C20" t="n">
        <v>1980000</v>
      </c>
    </row>
    <row r="21">
      <c r="A21" t="inlineStr">
        <is>
          <t>Maret</t>
        </is>
      </c>
      <c r="B21" t="inlineStr">
        <is>
          <t>Internet</t>
        </is>
      </c>
      <c r="C21" t="n">
        <v>1500000</v>
      </c>
    </row>
    <row r="22">
      <c r="A22" t="inlineStr">
        <is>
          <t>Maret</t>
        </is>
      </c>
      <c r="B22" t="inlineStr">
        <is>
          <t>ATK</t>
        </is>
      </c>
      <c r="C22" t="n">
        <v>3030000</v>
      </c>
    </row>
    <row r="23">
      <c r="A23" t="inlineStr">
        <is>
          <t>Maret</t>
        </is>
      </c>
      <c r="B23" t="inlineStr">
        <is>
          <t>Transportasi</t>
        </is>
      </c>
      <c r="C23" t="n">
        <v>4080000</v>
      </c>
    </row>
    <row r="24">
      <c r="A24" t="inlineStr">
        <is>
          <t>Maret</t>
        </is>
      </c>
      <c r="B24" t="inlineStr">
        <is>
          <t>Marketing</t>
        </is>
      </c>
      <c r="C24" t="n">
        <v>10300000</v>
      </c>
    </row>
    <row r="25">
      <c r="A25" t="inlineStr">
        <is>
          <t>Maret</t>
        </is>
      </c>
      <c r="B25" t="inlineStr">
        <is>
          <t>Maintenance</t>
        </is>
      </c>
      <c r="C25" t="n">
        <v>5200000</v>
      </c>
    </row>
    <row r="26">
      <c r="A26" t="inlineStr">
        <is>
          <t>April</t>
        </is>
      </c>
      <c r="B26" t="inlineStr">
        <is>
          <t>Gaji</t>
        </is>
      </c>
      <c r="C26" t="n">
        <v>49000000</v>
      </c>
    </row>
    <row r="27">
      <c r="A27" t="inlineStr">
        <is>
          <t>April</t>
        </is>
      </c>
      <c r="B27" t="inlineStr">
        <is>
          <t>Listrik</t>
        </is>
      </c>
      <c r="C27" t="n">
        <v>5940000</v>
      </c>
    </row>
    <row r="28">
      <c r="A28" t="inlineStr">
        <is>
          <t>April</t>
        </is>
      </c>
      <c r="B28" t="inlineStr">
        <is>
          <t>Air</t>
        </is>
      </c>
      <c r="C28" t="n">
        <v>2000000</v>
      </c>
    </row>
    <row r="29">
      <c r="A29" t="inlineStr">
        <is>
          <t>April</t>
        </is>
      </c>
      <c r="B29" t="inlineStr">
        <is>
          <t>Internet</t>
        </is>
      </c>
      <c r="C29" t="n">
        <v>1515000</v>
      </c>
    </row>
    <row r="30">
      <c r="A30" t="inlineStr">
        <is>
          <t>April</t>
        </is>
      </c>
      <c r="B30" t="inlineStr">
        <is>
          <t>ATK</t>
        </is>
      </c>
      <c r="C30" t="n">
        <v>3060000</v>
      </c>
    </row>
    <row r="31">
      <c r="A31" t="inlineStr">
        <is>
          <t>April</t>
        </is>
      </c>
      <c r="B31" t="inlineStr">
        <is>
          <t>Transportasi</t>
        </is>
      </c>
      <c r="C31" t="n">
        <v>4120000</v>
      </c>
    </row>
    <row r="32">
      <c r="A32" t="inlineStr">
        <is>
          <t>April</t>
        </is>
      </c>
      <c r="B32" t="inlineStr">
        <is>
          <t>Marketing</t>
        </is>
      </c>
      <c r="C32" t="n">
        <v>10400000</v>
      </c>
    </row>
    <row r="33">
      <c r="A33" t="inlineStr">
        <is>
          <t>April</t>
        </is>
      </c>
      <c r="B33" t="inlineStr">
        <is>
          <t>Maintenance</t>
        </is>
      </c>
      <c r="C33" t="n">
        <v>5250000</v>
      </c>
    </row>
    <row r="34">
      <c r="A34" t="inlineStr">
        <is>
          <t>Mei</t>
        </is>
      </c>
      <c r="B34" t="inlineStr">
        <is>
          <t>Gaji</t>
        </is>
      </c>
      <c r="C34" t="n">
        <v>49500000</v>
      </c>
    </row>
    <row r="35">
      <c r="A35" t="inlineStr">
        <is>
          <t>Mei</t>
        </is>
      </c>
      <c r="B35" t="inlineStr">
        <is>
          <t>Listrik</t>
        </is>
      </c>
      <c r="C35" t="n">
        <v>6000000</v>
      </c>
    </row>
    <row r="36">
      <c r="A36" t="inlineStr">
        <is>
          <t>Mei</t>
        </is>
      </c>
      <c r="B36" t="inlineStr">
        <is>
          <t>Air</t>
        </is>
      </c>
      <c r="C36" t="n">
        <v>2020000</v>
      </c>
    </row>
    <row r="37">
      <c r="A37" t="inlineStr">
        <is>
          <t>Mei</t>
        </is>
      </c>
      <c r="B37" t="inlineStr">
        <is>
          <t>Internet</t>
        </is>
      </c>
      <c r="C37" t="n">
        <v>1530000</v>
      </c>
    </row>
    <row r="38">
      <c r="A38" t="inlineStr">
        <is>
          <t>Mei</t>
        </is>
      </c>
      <c r="B38" t="inlineStr">
        <is>
          <t>ATK</t>
        </is>
      </c>
      <c r="C38" t="n">
        <v>3090000</v>
      </c>
    </row>
    <row r="39">
      <c r="A39" t="inlineStr">
        <is>
          <t>Mei</t>
        </is>
      </c>
      <c r="B39" t="inlineStr">
        <is>
          <t>Transportasi</t>
        </is>
      </c>
      <c r="C39" t="n">
        <v>4160000</v>
      </c>
    </row>
    <row r="40">
      <c r="A40" t="inlineStr">
        <is>
          <t>Mei</t>
        </is>
      </c>
      <c r="B40" t="inlineStr">
        <is>
          <t>Marketing</t>
        </is>
      </c>
      <c r="C40" t="n">
        <v>10500000</v>
      </c>
    </row>
    <row r="41">
      <c r="A41" t="inlineStr">
        <is>
          <t>Mei</t>
        </is>
      </c>
      <c r="B41" t="inlineStr">
        <is>
          <t>Maintenance</t>
        </is>
      </c>
      <c r="C41" t="n">
        <v>4750000</v>
      </c>
    </row>
    <row r="42">
      <c r="A42" t="inlineStr">
        <is>
          <t>Juni</t>
        </is>
      </c>
      <c r="B42" t="inlineStr">
        <is>
          <t>Gaji</t>
        </is>
      </c>
      <c r="C42" t="n">
        <v>50000000</v>
      </c>
    </row>
    <row r="43">
      <c r="A43" t="inlineStr">
        <is>
          <t>Juni</t>
        </is>
      </c>
      <c r="B43" t="inlineStr">
        <is>
          <t>Listrik</t>
        </is>
      </c>
      <c r="C43" t="n">
        <v>6060000</v>
      </c>
    </row>
    <row r="44">
      <c r="A44" t="inlineStr">
        <is>
          <t>Juni</t>
        </is>
      </c>
      <c r="B44" t="inlineStr">
        <is>
          <t>Air</t>
        </is>
      </c>
      <c r="C44" t="n">
        <v>2040000</v>
      </c>
    </row>
    <row r="45">
      <c r="A45" t="inlineStr">
        <is>
          <t>Juni</t>
        </is>
      </c>
      <c r="B45" t="inlineStr">
        <is>
          <t>Internet</t>
        </is>
      </c>
      <c r="C45" t="n">
        <v>1545000</v>
      </c>
    </row>
    <row r="46">
      <c r="A46" t="inlineStr">
        <is>
          <t>Juni</t>
        </is>
      </c>
      <c r="B46" t="inlineStr">
        <is>
          <t>ATK</t>
        </is>
      </c>
      <c r="C46" t="n">
        <v>3120000</v>
      </c>
    </row>
    <row r="47">
      <c r="A47" t="inlineStr">
        <is>
          <t>Juni</t>
        </is>
      </c>
      <c r="B47" t="inlineStr">
        <is>
          <t>Transportasi</t>
        </is>
      </c>
      <c r="C47" t="n">
        <v>4200000</v>
      </c>
    </row>
    <row r="48">
      <c r="A48" t="inlineStr">
        <is>
          <t>Juni</t>
        </is>
      </c>
      <c r="B48" t="inlineStr">
        <is>
          <t>Marketing</t>
        </is>
      </c>
      <c r="C48" t="n">
        <v>9500000</v>
      </c>
    </row>
    <row r="49">
      <c r="A49" t="inlineStr">
        <is>
          <t>Juni</t>
        </is>
      </c>
      <c r="B49" t="inlineStr">
        <is>
          <t>Maintenance</t>
        </is>
      </c>
      <c r="C49" t="n">
        <v>4800000</v>
      </c>
    </row>
    <row r="50">
      <c r="A50" t="inlineStr">
        <is>
          <t>Juli</t>
        </is>
      </c>
      <c r="B50" t="inlineStr">
        <is>
          <t>Gaji</t>
        </is>
      </c>
      <c r="C50" t="n">
        <v>50500000</v>
      </c>
    </row>
    <row r="51">
      <c r="A51" t="inlineStr">
        <is>
          <t>Juli</t>
        </is>
      </c>
      <c r="B51" t="inlineStr">
        <is>
          <t>Listrik</t>
        </is>
      </c>
      <c r="C51" t="n">
        <v>6120000</v>
      </c>
    </row>
    <row r="52">
      <c r="A52" t="inlineStr">
        <is>
          <t>Juli</t>
        </is>
      </c>
      <c r="B52" t="inlineStr">
        <is>
          <t>Air</t>
        </is>
      </c>
      <c r="C52" t="n">
        <v>2060000</v>
      </c>
    </row>
    <row r="53">
      <c r="A53" t="inlineStr">
        <is>
          <t>Juli</t>
        </is>
      </c>
      <c r="B53" t="inlineStr">
        <is>
          <t>Internet</t>
        </is>
      </c>
      <c r="C53" t="n">
        <v>1560000</v>
      </c>
    </row>
    <row r="54">
      <c r="A54" t="inlineStr">
        <is>
          <t>Juli</t>
        </is>
      </c>
      <c r="B54" t="inlineStr">
        <is>
          <t>ATK</t>
        </is>
      </c>
      <c r="C54" t="n">
        <v>3150000</v>
      </c>
    </row>
    <row r="55">
      <c r="A55" t="inlineStr">
        <is>
          <t>Juli</t>
        </is>
      </c>
      <c r="B55" t="inlineStr">
        <is>
          <t>Transportasi</t>
        </is>
      </c>
      <c r="C55" t="n">
        <v>3800000</v>
      </c>
    </row>
    <row r="56">
      <c r="A56" t="inlineStr">
        <is>
          <t>Juli</t>
        </is>
      </c>
      <c r="B56" t="inlineStr">
        <is>
          <t>Marketing</t>
        </is>
      </c>
      <c r="C56" t="n">
        <v>9600000</v>
      </c>
    </row>
    <row r="57">
      <c r="A57" t="inlineStr">
        <is>
          <t>Juli</t>
        </is>
      </c>
      <c r="B57" t="inlineStr">
        <is>
          <t>Maintenance</t>
        </is>
      </c>
      <c r="C57" t="n">
        <v>4850000</v>
      </c>
    </row>
    <row r="58">
      <c r="A58" t="inlineStr">
        <is>
          <t>Agustus</t>
        </is>
      </c>
      <c r="B58" t="inlineStr">
        <is>
          <t>Gaji</t>
        </is>
      </c>
      <c r="C58" t="n">
        <v>51000000</v>
      </c>
    </row>
    <row r="59">
      <c r="A59" t="inlineStr">
        <is>
          <t>Agustus</t>
        </is>
      </c>
      <c r="B59" t="inlineStr">
        <is>
          <t>Listrik</t>
        </is>
      </c>
      <c r="C59" t="n">
        <v>6180000</v>
      </c>
    </row>
    <row r="60">
      <c r="A60" t="inlineStr">
        <is>
          <t>Agustus</t>
        </is>
      </c>
      <c r="B60" t="inlineStr">
        <is>
          <t>Air</t>
        </is>
      </c>
      <c r="C60" t="n">
        <v>2080000</v>
      </c>
    </row>
    <row r="61">
      <c r="A61" t="inlineStr">
        <is>
          <t>Agustus</t>
        </is>
      </c>
      <c r="B61" t="inlineStr">
        <is>
          <t>Internet</t>
        </is>
      </c>
      <c r="C61" t="n">
        <v>1575000</v>
      </c>
    </row>
    <row r="62">
      <c r="A62" t="inlineStr">
        <is>
          <t>Agustus</t>
        </is>
      </c>
      <c r="B62" t="inlineStr">
        <is>
          <t>ATK</t>
        </is>
      </c>
      <c r="C62" t="n">
        <v>2850000</v>
      </c>
    </row>
    <row r="63">
      <c r="A63" t="inlineStr">
        <is>
          <t>Agustus</t>
        </is>
      </c>
      <c r="B63" t="inlineStr">
        <is>
          <t>Transportasi</t>
        </is>
      </c>
      <c r="C63" t="n">
        <v>3840000</v>
      </c>
    </row>
    <row r="64">
      <c r="A64" t="inlineStr">
        <is>
          <t>Agustus</t>
        </is>
      </c>
      <c r="B64" t="inlineStr">
        <is>
          <t>Marketing</t>
        </is>
      </c>
      <c r="C64" t="n">
        <v>9700000</v>
      </c>
    </row>
    <row r="65">
      <c r="A65" t="inlineStr">
        <is>
          <t>Agustus</t>
        </is>
      </c>
      <c r="B65" t="inlineStr">
        <is>
          <t>Maintenance</t>
        </is>
      </c>
      <c r="C65" t="n">
        <v>4900000</v>
      </c>
    </row>
    <row r="66">
      <c r="A66" t="inlineStr">
        <is>
          <t>September</t>
        </is>
      </c>
      <c r="B66" t="inlineStr">
        <is>
          <t>Gaji</t>
        </is>
      </c>
      <c r="C66" t="n">
        <v>51500000</v>
      </c>
    </row>
    <row r="67">
      <c r="A67" t="inlineStr">
        <is>
          <t>September</t>
        </is>
      </c>
      <c r="B67" t="inlineStr">
        <is>
          <t>Listrik</t>
        </is>
      </c>
      <c r="C67" t="n">
        <v>6240000</v>
      </c>
    </row>
    <row r="68">
      <c r="A68" t="inlineStr">
        <is>
          <t>September</t>
        </is>
      </c>
      <c r="B68" t="inlineStr">
        <is>
          <t>Air</t>
        </is>
      </c>
      <c r="C68" t="n">
        <v>2100000</v>
      </c>
    </row>
    <row r="69">
      <c r="A69" t="inlineStr">
        <is>
          <t>September</t>
        </is>
      </c>
      <c r="B69" t="inlineStr">
        <is>
          <t>Internet</t>
        </is>
      </c>
      <c r="C69" t="n">
        <v>1425000</v>
      </c>
    </row>
    <row r="70">
      <c r="A70" t="inlineStr">
        <is>
          <t>September</t>
        </is>
      </c>
      <c r="B70" t="inlineStr">
        <is>
          <t>ATK</t>
        </is>
      </c>
      <c r="C70" t="n">
        <v>2880000</v>
      </c>
    </row>
    <row r="71">
      <c r="A71" t="inlineStr">
        <is>
          <t>September</t>
        </is>
      </c>
      <c r="B71" t="inlineStr">
        <is>
          <t>Transportasi</t>
        </is>
      </c>
      <c r="C71" t="n">
        <v>3880000</v>
      </c>
    </row>
    <row r="72">
      <c r="A72" t="inlineStr">
        <is>
          <t>September</t>
        </is>
      </c>
      <c r="B72" t="inlineStr">
        <is>
          <t>Marketing</t>
        </is>
      </c>
      <c r="C72" t="n">
        <v>9800000</v>
      </c>
    </row>
    <row r="73">
      <c r="A73" t="inlineStr">
        <is>
          <t>September</t>
        </is>
      </c>
      <c r="B73" t="inlineStr">
        <is>
          <t>Maintenance</t>
        </is>
      </c>
      <c r="C73" t="n">
        <v>4950000</v>
      </c>
    </row>
    <row r="74">
      <c r="A74" t="inlineStr">
        <is>
          <t>Oktober</t>
        </is>
      </c>
      <c r="B74" t="inlineStr">
        <is>
          <t>Gaji</t>
        </is>
      </c>
      <c r="C74" t="n">
        <v>52000000</v>
      </c>
    </row>
    <row r="75">
      <c r="A75" t="inlineStr">
        <is>
          <t>Oktober</t>
        </is>
      </c>
      <c r="B75" t="inlineStr">
        <is>
          <t>Listrik</t>
        </is>
      </c>
      <c r="C75" t="n">
        <v>6300000</v>
      </c>
    </row>
    <row r="76">
      <c r="A76" t="inlineStr">
        <is>
          <t>Oktober</t>
        </is>
      </c>
      <c r="B76" t="inlineStr">
        <is>
          <t>Air</t>
        </is>
      </c>
      <c r="C76" t="n">
        <v>1900000</v>
      </c>
    </row>
    <row r="77">
      <c r="A77" t="inlineStr">
        <is>
          <t>Oktober</t>
        </is>
      </c>
      <c r="B77" t="inlineStr">
        <is>
          <t>Internet</t>
        </is>
      </c>
      <c r="C77" t="n">
        <v>1440000</v>
      </c>
    </row>
    <row r="78">
      <c r="A78" t="inlineStr">
        <is>
          <t>Oktober</t>
        </is>
      </c>
      <c r="B78" t="inlineStr">
        <is>
          <t>ATK</t>
        </is>
      </c>
      <c r="C78" t="n">
        <v>2910000</v>
      </c>
    </row>
    <row r="79">
      <c r="A79" t="inlineStr">
        <is>
          <t>Oktober</t>
        </is>
      </c>
      <c r="B79" t="inlineStr">
        <is>
          <t>Transportasi</t>
        </is>
      </c>
      <c r="C79" t="n">
        <v>3920000</v>
      </c>
    </row>
    <row r="80">
      <c r="A80" t="inlineStr">
        <is>
          <t>Oktober</t>
        </is>
      </c>
      <c r="B80" t="inlineStr">
        <is>
          <t>Marketing</t>
        </is>
      </c>
      <c r="C80" t="n">
        <v>9900000</v>
      </c>
    </row>
    <row r="81">
      <c r="A81" t="inlineStr">
        <is>
          <t>Oktober</t>
        </is>
      </c>
      <c r="B81" t="inlineStr">
        <is>
          <t>Maintenance</t>
        </is>
      </c>
      <c r="C81" t="n">
        <v>5000000</v>
      </c>
    </row>
    <row r="82">
      <c r="A82" t="inlineStr">
        <is>
          <t>November</t>
        </is>
      </c>
      <c r="B82" t="inlineStr">
        <is>
          <t>Gaji</t>
        </is>
      </c>
      <c r="C82" t="n">
        <v>52500000</v>
      </c>
    </row>
    <row r="83">
      <c r="A83" t="inlineStr">
        <is>
          <t>November</t>
        </is>
      </c>
      <c r="B83" t="inlineStr">
        <is>
          <t>Listrik</t>
        </is>
      </c>
      <c r="C83" t="n">
        <v>5700000</v>
      </c>
    </row>
    <row r="84">
      <c r="A84" t="inlineStr">
        <is>
          <t>November</t>
        </is>
      </c>
      <c r="B84" t="inlineStr">
        <is>
          <t>Air</t>
        </is>
      </c>
      <c r="C84" t="n">
        <v>1920000</v>
      </c>
    </row>
    <row r="85">
      <c r="A85" t="inlineStr">
        <is>
          <t>November</t>
        </is>
      </c>
      <c r="B85" t="inlineStr">
        <is>
          <t>Internet</t>
        </is>
      </c>
      <c r="C85" t="n">
        <v>1455000</v>
      </c>
    </row>
    <row r="86">
      <c r="A86" t="inlineStr">
        <is>
          <t>November</t>
        </is>
      </c>
      <c r="B86" t="inlineStr">
        <is>
          <t>ATK</t>
        </is>
      </c>
      <c r="C86" t="n">
        <v>2940000</v>
      </c>
    </row>
    <row r="87">
      <c r="A87" t="inlineStr">
        <is>
          <t>November</t>
        </is>
      </c>
      <c r="B87" t="inlineStr">
        <is>
          <t>Transportasi</t>
        </is>
      </c>
      <c r="C87" t="n">
        <v>3960000</v>
      </c>
    </row>
    <row r="88">
      <c r="A88" t="inlineStr">
        <is>
          <t>November</t>
        </is>
      </c>
      <c r="B88" t="inlineStr">
        <is>
          <t>Marketing</t>
        </is>
      </c>
      <c r="C88" t="n">
        <v>10000000</v>
      </c>
    </row>
    <row r="89">
      <c r="A89" t="inlineStr">
        <is>
          <t>November</t>
        </is>
      </c>
      <c r="B89" t="inlineStr">
        <is>
          <t>Maintenance</t>
        </is>
      </c>
      <c r="C89" t="n">
        <v>5050000</v>
      </c>
    </row>
    <row r="90">
      <c r="A90" t="inlineStr">
        <is>
          <t>Desember</t>
        </is>
      </c>
      <c r="B90" t="inlineStr">
        <is>
          <t>Gaji</t>
        </is>
      </c>
      <c r="C90" t="n">
        <v>47500000</v>
      </c>
    </row>
    <row r="91">
      <c r="A91" t="inlineStr">
        <is>
          <t>Desember</t>
        </is>
      </c>
      <c r="B91" t="inlineStr">
        <is>
          <t>Listrik</t>
        </is>
      </c>
      <c r="C91" t="n">
        <v>5760000</v>
      </c>
    </row>
    <row r="92">
      <c r="A92" t="inlineStr">
        <is>
          <t>Desember</t>
        </is>
      </c>
      <c r="B92" t="inlineStr">
        <is>
          <t>Air</t>
        </is>
      </c>
      <c r="C92" t="n">
        <v>1940000</v>
      </c>
    </row>
    <row r="93">
      <c r="A93" t="inlineStr">
        <is>
          <t>Desember</t>
        </is>
      </c>
      <c r="B93" t="inlineStr">
        <is>
          <t>Internet</t>
        </is>
      </c>
      <c r="C93" t="n">
        <v>1470000</v>
      </c>
    </row>
    <row r="94">
      <c r="A94" t="inlineStr">
        <is>
          <t>Desember</t>
        </is>
      </c>
      <c r="B94" t="inlineStr">
        <is>
          <t>ATK</t>
        </is>
      </c>
      <c r="C94" t="n">
        <v>2970000</v>
      </c>
    </row>
    <row r="95">
      <c r="A95" t="inlineStr">
        <is>
          <t>Desember</t>
        </is>
      </c>
      <c r="B95" t="inlineStr">
        <is>
          <t>Transportasi</t>
        </is>
      </c>
      <c r="C95" t="n">
        <v>4000000</v>
      </c>
    </row>
    <row r="96">
      <c r="A96" t="inlineStr">
        <is>
          <t>Desember</t>
        </is>
      </c>
      <c r="B96" t="inlineStr">
        <is>
          <t>Marketing</t>
        </is>
      </c>
      <c r="C96" t="n">
        <v>10100000</v>
      </c>
    </row>
    <row r="97">
      <c r="A97" t="inlineStr">
        <is>
          <t>Desember</t>
        </is>
      </c>
      <c r="B97" t="inlineStr">
        <is>
          <t>Maintenance</t>
        </is>
      </c>
      <c r="C97" t="n">
        <v>5100000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Bulan</t>
        </is>
      </c>
      <c r="B1" s="2" t="inlineStr">
        <is>
          <t>Kategori</t>
        </is>
      </c>
      <c r="C1" s="2" t="inlineStr">
        <is>
          <t>Budget</t>
        </is>
      </c>
      <c r="D1" s="2" t="inlineStr">
        <is>
          <t>Actual</t>
        </is>
      </c>
      <c r="E1" s="2" t="inlineStr">
        <is>
          <t>Variance</t>
        </is>
      </c>
      <c r="F1" s="2" t="inlineStr">
        <is>
          <t>% Realisasi</t>
        </is>
      </c>
      <c r="G1" s="2" t="inlineStr">
        <is>
          <t>Status</t>
        </is>
      </c>
    </row>
    <row r="2">
      <c r="A2">
        <f>'Budget Data'!A2</f>
        <v/>
      </c>
      <c r="B2">
        <f>'Budget Data'!B2</f>
        <v/>
      </c>
      <c r="C2">
        <f>'Budget Data'!C2</f>
        <v/>
      </c>
      <c r="D2">
        <f>'Actual Data'!C2</f>
        <v/>
      </c>
      <c r="E2">
        <f>C2-D2</f>
        <v/>
      </c>
      <c r="F2" s="3">
        <f>D2/C2</f>
        <v/>
      </c>
      <c r="G2">
        <f>IF(D2&lt;=C2,"Under Budget","Over Budget")</f>
        <v/>
      </c>
    </row>
    <row r="3">
      <c r="A3">
        <f>'Budget Data'!A3</f>
        <v/>
      </c>
      <c r="B3">
        <f>'Budget Data'!B3</f>
        <v/>
      </c>
      <c r="C3">
        <f>'Budget Data'!C3</f>
        <v/>
      </c>
      <c r="D3">
        <f>'Actual Data'!C3</f>
        <v/>
      </c>
      <c r="E3">
        <f>C3-D3</f>
        <v/>
      </c>
      <c r="F3" s="3">
        <f>D3/C3</f>
        <v/>
      </c>
      <c r="G3">
        <f>IF(D3&lt;=C3,"Under Budget","Over Budget")</f>
        <v/>
      </c>
    </row>
    <row r="4">
      <c r="A4">
        <f>'Budget Data'!A4</f>
        <v/>
      </c>
      <c r="B4">
        <f>'Budget Data'!B4</f>
        <v/>
      </c>
      <c r="C4">
        <f>'Budget Data'!C4</f>
        <v/>
      </c>
      <c r="D4">
        <f>'Actual Data'!C4</f>
        <v/>
      </c>
      <c r="E4">
        <f>C4-D4</f>
        <v/>
      </c>
      <c r="F4" s="3">
        <f>D4/C4</f>
        <v/>
      </c>
      <c r="G4">
        <f>IF(D4&lt;=C4,"Under Budget","Over Budget")</f>
        <v/>
      </c>
    </row>
    <row r="5">
      <c r="A5">
        <f>'Budget Data'!A5</f>
        <v/>
      </c>
      <c r="B5">
        <f>'Budget Data'!B5</f>
        <v/>
      </c>
      <c r="C5">
        <f>'Budget Data'!C5</f>
        <v/>
      </c>
      <c r="D5">
        <f>'Actual Data'!C5</f>
        <v/>
      </c>
      <c r="E5">
        <f>C5-D5</f>
        <v/>
      </c>
      <c r="F5" s="3">
        <f>D5/C5</f>
        <v/>
      </c>
      <c r="G5">
        <f>IF(D5&lt;=C5,"Under Budget","Over Budget")</f>
        <v/>
      </c>
    </row>
    <row r="6">
      <c r="A6">
        <f>'Budget Data'!A6</f>
        <v/>
      </c>
      <c r="B6">
        <f>'Budget Data'!B6</f>
        <v/>
      </c>
      <c r="C6">
        <f>'Budget Data'!C6</f>
        <v/>
      </c>
      <c r="D6">
        <f>'Actual Data'!C6</f>
        <v/>
      </c>
      <c r="E6">
        <f>C6-D6</f>
        <v/>
      </c>
      <c r="F6" s="3">
        <f>D6/C6</f>
        <v/>
      </c>
      <c r="G6">
        <f>IF(D6&lt;=C6,"Under Budget","Over Budget")</f>
        <v/>
      </c>
    </row>
    <row r="7">
      <c r="A7">
        <f>'Budget Data'!A7</f>
        <v/>
      </c>
      <c r="B7">
        <f>'Budget Data'!B7</f>
        <v/>
      </c>
      <c r="C7">
        <f>'Budget Data'!C7</f>
        <v/>
      </c>
      <c r="D7">
        <f>'Actual Data'!C7</f>
        <v/>
      </c>
      <c r="E7">
        <f>C7-D7</f>
        <v/>
      </c>
      <c r="F7" s="3">
        <f>D7/C7</f>
        <v/>
      </c>
      <c r="G7">
        <f>IF(D7&lt;=C7,"Under Budget","Over Budget")</f>
        <v/>
      </c>
    </row>
    <row r="8">
      <c r="A8">
        <f>'Budget Data'!A8</f>
        <v/>
      </c>
      <c r="B8">
        <f>'Budget Data'!B8</f>
        <v/>
      </c>
      <c r="C8">
        <f>'Budget Data'!C8</f>
        <v/>
      </c>
      <c r="D8">
        <f>'Actual Data'!C8</f>
        <v/>
      </c>
      <c r="E8">
        <f>C8-D8</f>
        <v/>
      </c>
      <c r="F8" s="3">
        <f>D8/C8</f>
        <v/>
      </c>
      <c r="G8">
        <f>IF(D8&lt;=C8,"Under Budget","Over Budget")</f>
        <v/>
      </c>
    </row>
    <row r="9">
      <c r="A9">
        <f>'Budget Data'!A9</f>
        <v/>
      </c>
      <c r="B9">
        <f>'Budget Data'!B9</f>
        <v/>
      </c>
      <c r="C9">
        <f>'Budget Data'!C9</f>
        <v/>
      </c>
      <c r="D9">
        <f>'Actual Data'!C9</f>
        <v/>
      </c>
      <c r="E9">
        <f>C9-D9</f>
        <v/>
      </c>
      <c r="F9" s="3">
        <f>D9/C9</f>
        <v/>
      </c>
      <c r="G9">
        <f>IF(D9&lt;=C9,"Under Budget","Over Budget")</f>
        <v/>
      </c>
    </row>
    <row r="10">
      <c r="A10">
        <f>'Budget Data'!A10</f>
        <v/>
      </c>
      <c r="B10">
        <f>'Budget Data'!B10</f>
        <v/>
      </c>
      <c r="C10">
        <f>'Budget Data'!C10</f>
        <v/>
      </c>
      <c r="D10">
        <f>'Actual Data'!C10</f>
        <v/>
      </c>
      <c r="E10">
        <f>C10-D10</f>
        <v/>
      </c>
      <c r="F10" s="3">
        <f>D10/C10</f>
        <v/>
      </c>
      <c r="G10">
        <f>IF(D10&lt;=C10,"Under Budget","Over Budget")</f>
        <v/>
      </c>
    </row>
    <row r="11">
      <c r="A11">
        <f>'Budget Data'!A11</f>
        <v/>
      </c>
      <c r="B11">
        <f>'Budget Data'!B11</f>
        <v/>
      </c>
      <c r="C11">
        <f>'Budget Data'!C11</f>
        <v/>
      </c>
      <c r="D11">
        <f>'Actual Data'!C11</f>
        <v/>
      </c>
      <c r="E11">
        <f>C11-D11</f>
        <v/>
      </c>
      <c r="F11" s="3">
        <f>D11/C11</f>
        <v/>
      </c>
      <c r="G11">
        <f>IF(D11&lt;=C11,"Under Budget","Over Budget")</f>
        <v/>
      </c>
    </row>
    <row r="12">
      <c r="A12">
        <f>'Budget Data'!A12</f>
        <v/>
      </c>
      <c r="B12">
        <f>'Budget Data'!B12</f>
        <v/>
      </c>
      <c r="C12">
        <f>'Budget Data'!C12</f>
        <v/>
      </c>
      <c r="D12">
        <f>'Actual Data'!C12</f>
        <v/>
      </c>
      <c r="E12">
        <f>C12-D12</f>
        <v/>
      </c>
      <c r="F12" s="3">
        <f>D12/C12</f>
        <v/>
      </c>
      <c r="G12">
        <f>IF(D12&lt;=C12,"Under Budget","Over Budget")</f>
        <v/>
      </c>
    </row>
    <row r="13">
      <c r="A13">
        <f>'Budget Data'!A13</f>
        <v/>
      </c>
      <c r="B13">
        <f>'Budget Data'!B13</f>
        <v/>
      </c>
      <c r="C13">
        <f>'Budget Data'!C13</f>
        <v/>
      </c>
      <c r="D13">
        <f>'Actual Data'!C13</f>
        <v/>
      </c>
      <c r="E13">
        <f>C13-D13</f>
        <v/>
      </c>
      <c r="F13" s="3">
        <f>D13/C13</f>
        <v/>
      </c>
      <c r="G13">
        <f>IF(D13&lt;=C13,"Under Budget","Over Budget")</f>
        <v/>
      </c>
    </row>
    <row r="14">
      <c r="A14">
        <f>'Budget Data'!A14</f>
        <v/>
      </c>
      <c r="B14">
        <f>'Budget Data'!B14</f>
        <v/>
      </c>
      <c r="C14">
        <f>'Budget Data'!C14</f>
        <v/>
      </c>
      <c r="D14">
        <f>'Actual Data'!C14</f>
        <v/>
      </c>
      <c r="E14">
        <f>C14-D14</f>
        <v/>
      </c>
      <c r="F14" s="3">
        <f>D14/C14</f>
        <v/>
      </c>
      <c r="G14">
        <f>IF(D14&lt;=C14,"Under Budget","Over Budget")</f>
        <v/>
      </c>
    </row>
    <row r="15">
      <c r="A15">
        <f>'Budget Data'!A15</f>
        <v/>
      </c>
      <c r="B15">
        <f>'Budget Data'!B15</f>
        <v/>
      </c>
      <c r="C15">
        <f>'Budget Data'!C15</f>
        <v/>
      </c>
      <c r="D15">
        <f>'Actual Data'!C15</f>
        <v/>
      </c>
      <c r="E15">
        <f>C15-D15</f>
        <v/>
      </c>
      <c r="F15" s="3">
        <f>D15/C15</f>
        <v/>
      </c>
      <c r="G15">
        <f>IF(D15&lt;=C15,"Under Budget","Over Budget")</f>
        <v/>
      </c>
    </row>
    <row r="16">
      <c r="A16">
        <f>'Budget Data'!A16</f>
        <v/>
      </c>
      <c r="B16">
        <f>'Budget Data'!B16</f>
        <v/>
      </c>
      <c r="C16">
        <f>'Budget Data'!C16</f>
        <v/>
      </c>
      <c r="D16">
        <f>'Actual Data'!C16</f>
        <v/>
      </c>
      <c r="E16">
        <f>C16-D16</f>
        <v/>
      </c>
      <c r="F16" s="3">
        <f>D16/C16</f>
        <v/>
      </c>
      <c r="G16">
        <f>IF(D16&lt;=C16,"Under Budget","Over Budget")</f>
        <v/>
      </c>
    </row>
    <row r="17">
      <c r="A17">
        <f>'Budget Data'!A17</f>
        <v/>
      </c>
      <c r="B17">
        <f>'Budget Data'!B17</f>
        <v/>
      </c>
      <c r="C17">
        <f>'Budget Data'!C17</f>
        <v/>
      </c>
      <c r="D17">
        <f>'Actual Data'!C17</f>
        <v/>
      </c>
      <c r="E17">
        <f>C17-D17</f>
        <v/>
      </c>
      <c r="F17" s="3">
        <f>D17/C17</f>
        <v/>
      </c>
      <c r="G17">
        <f>IF(D17&lt;=C17,"Under Budget","Over Budget")</f>
        <v/>
      </c>
    </row>
    <row r="18">
      <c r="A18">
        <f>'Budget Data'!A18</f>
        <v/>
      </c>
      <c r="B18">
        <f>'Budget Data'!B18</f>
        <v/>
      </c>
      <c r="C18">
        <f>'Budget Data'!C18</f>
        <v/>
      </c>
      <c r="D18">
        <f>'Actual Data'!C18</f>
        <v/>
      </c>
      <c r="E18">
        <f>C18-D18</f>
        <v/>
      </c>
      <c r="F18" s="3">
        <f>D18/C18</f>
        <v/>
      </c>
      <c r="G18">
        <f>IF(D18&lt;=C18,"Under Budget","Over Budget")</f>
        <v/>
      </c>
    </row>
    <row r="19">
      <c r="A19">
        <f>'Budget Data'!A19</f>
        <v/>
      </c>
      <c r="B19">
        <f>'Budget Data'!B19</f>
        <v/>
      </c>
      <c r="C19">
        <f>'Budget Data'!C19</f>
        <v/>
      </c>
      <c r="D19">
        <f>'Actual Data'!C19</f>
        <v/>
      </c>
      <c r="E19">
        <f>C19-D19</f>
        <v/>
      </c>
      <c r="F19" s="3">
        <f>D19/C19</f>
        <v/>
      </c>
      <c r="G19">
        <f>IF(D19&lt;=C19,"Under Budget","Over Budget")</f>
        <v/>
      </c>
    </row>
    <row r="20">
      <c r="A20">
        <f>'Budget Data'!A20</f>
        <v/>
      </c>
      <c r="B20">
        <f>'Budget Data'!B20</f>
        <v/>
      </c>
      <c r="C20">
        <f>'Budget Data'!C20</f>
        <v/>
      </c>
      <c r="D20">
        <f>'Actual Data'!C20</f>
        <v/>
      </c>
      <c r="E20">
        <f>C20-D20</f>
        <v/>
      </c>
      <c r="F20" s="3">
        <f>D20/C20</f>
        <v/>
      </c>
      <c r="G20">
        <f>IF(D20&lt;=C20,"Under Budget","Over Budget")</f>
        <v/>
      </c>
    </row>
    <row r="21">
      <c r="A21">
        <f>'Budget Data'!A21</f>
        <v/>
      </c>
      <c r="B21">
        <f>'Budget Data'!B21</f>
        <v/>
      </c>
      <c r="C21">
        <f>'Budget Data'!C21</f>
        <v/>
      </c>
      <c r="D21">
        <f>'Actual Data'!C21</f>
        <v/>
      </c>
      <c r="E21">
        <f>C21-D21</f>
        <v/>
      </c>
      <c r="F21" s="3">
        <f>D21/C21</f>
        <v/>
      </c>
      <c r="G21">
        <f>IF(D21&lt;=C21,"Under Budget","Over Budget")</f>
        <v/>
      </c>
    </row>
    <row r="22">
      <c r="A22">
        <f>'Budget Data'!A22</f>
        <v/>
      </c>
      <c r="B22">
        <f>'Budget Data'!B22</f>
        <v/>
      </c>
      <c r="C22">
        <f>'Budget Data'!C22</f>
        <v/>
      </c>
      <c r="D22">
        <f>'Actual Data'!C22</f>
        <v/>
      </c>
      <c r="E22">
        <f>C22-D22</f>
        <v/>
      </c>
      <c r="F22" s="3">
        <f>D22/C22</f>
        <v/>
      </c>
      <c r="G22">
        <f>IF(D22&lt;=C22,"Under Budget","Over Budget")</f>
        <v/>
      </c>
    </row>
    <row r="23">
      <c r="A23">
        <f>'Budget Data'!A23</f>
        <v/>
      </c>
      <c r="B23">
        <f>'Budget Data'!B23</f>
        <v/>
      </c>
      <c r="C23">
        <f>'Budget Data'!C23</f>
        <v/>
      </c>
      <c r="D23">
        <f>'Actual Data'!C23</f>
        <v/>
      </c>
      <c r="E23">
        <f>C23-D23</f>
        <v/>
      </c>
      <c r="F23" s="3">
        <f>D23/C23</f>
        <v/>
      </c>
      <c r="G23">
        <f>IF(D23&lt;=C23,"Under Budget","Over Budget")</f>
        <v/>
      </c>
    </row>
    <row r="24">
      <c r="A24">
        <f>'Budget Data'!A24</f>
        <v/>
      </c>
      <c r="B24">
        <f>'Budget Data'!B24</f>
        <v/>
      </c>
      <c r="C24">
        <f>'Budget Data'!C24</f>
        <v/>
      </c>
      <c r="D24">
        <f>'Actual Data'!C24</f>
        <v/>
      </c>
      <c r="E24">
        <f>C24-D24</f>
        <v/>
      </c>
      <c r="F24" s="3">
        <f>D24/C24</f>
        <v/>
      </c>
      <c r="G24">
        <f>IF(D24&lt;=C24,"Under Budget","Over Budget")</f>
        <v/>
      </c>
    </row>
    <row r="25">
      <c r="A25">
        <f>'Budget Data'!A25</f>
        <v/>
      </c>
      <c r="B25">
        <f>'Budget Data'!B25</f>
        <v/>
      </c>
      <c r="C25">
        <f>'Budget Data'!C25</f>
        <v/>
      </c>
      <c r="D25">
        <f>'Actual Data'!C25</f>
        <v/>
      </c>
      <c r="E25">
        <f>C25-D25</f>
        <v/>
      </c>
      <c r="F25" s="3">
        <f>D25/C25</f>
        <v/>
      </c>
      <c r="G25">
        <f>IF(D25&lt;=C25,"Under Budget","Over Budget")</f>
        <v/>
      </c>
    </row>
    <row r="26">
      <c r="A26">
        <f>'Budget Data'!A26</f>
        <v/>
      </c>
      <c r="B26">
        <f>'Budget Data'!B26</f>
        <v/>
      </c>
      <c r="C26">
        <f>'Budget Data'!C26</f>
        <v/>
      </c>
      <c r="D26">
        <f>'Actual Data'!C26</f>
        <v/>
      </c>
      <c r="E26">
        <f>C26-D26</f>
        <v/>
      </c>
      <c r="F26" s="3">
        <f>D26/C26</f>
        <v/>
      </c>
      <c r="G26">
        <f>IF(D26&lt;=C26,"Under Budget","Over Budget")</f>
        <v/>
      </c>
    </row>
    <row r="27">
      <c r="A27">
        <f>'Budget Data'!A27</f>
        <v/>
      </c>
      <c r="B27">
        <f>'Budget Data'!B27</f>
        <v/>
      </c>
      <c r="C27">
        <f>'Budget Data'!C27</f>
        <v/>
      </c>
      <c r="D27">
        <f>'Actual Data'!C27</f>
        <v/>
      </c>
      <c r="E27">
        <f>C27-D27</f>
        <v/>
      </c>
      <c r="F27" s="3">
        <f>D27/C27</f>
        <v/>
      </c>
      <c r="G27">
        <f>IF(D27&lt;=C27,"Under Budget","Over Budget")</f>
        <v/>
      </c>
    </row>
    <row r="28">
      <c r="A28">
        <f>'Budget Data'!A28</f>
        <v/>
      </c>
      <c r="B28">
        <f>'Budget Data'!B28</f>
        <v/>
      </c>
      <c r="C28">
        <f>'Budget Data'!C28</f>
        <v/>
      </c>
      <c r="D28">
        <f>'Actual Data'!C28</f>
        <v/>
      </c>
      <c r="E28">
        <f>C28-D28</f>
        <v/>
      </c>
      <c r="F28" s="3">
        <f>D28/C28</f>
        <v/>
      </c>
      <c r="G28">
        <f>IF(D28&lt;=C28,"Under Budget","Over Budget")</f>
        <v/>
      </c>
    </row>
    <row r="29">
      <c r="A29">
        <f>'Budget Data'!A29</f>
        <v/>
      </c>
      <c r="B29">
        <f>'Budget Data'!B29</f>
        <v/>
      </c>
      <c r="C29">
        <f>'Budget Data'!C29</f>
        <v/>
      </c>
      <c r="D29">
        <f>'Actual Data'!C29</f>
        <v/>
      </c>
      <c r="E29">
        <f>C29-D29</f>
        <v/>
      </c>
      <c r="F29" s="3">
        <f>D29/C29</f>
        <v/>
      </c>
      <c r="G29">
        <f>IF(D29&lt;=C29,"Under Budget","Over Budget")</f>
        <v/>
      </c>
    </row>
    <row r="30">
      <c r="A30">
        <f>'Budget Data'!A30</f>
        <v/>
      </c>
      <c r="B30">
        <f>'Budget Data'!B30</f>
        <v/>
      </c>
      <c r="C30">
        <f>'Budget Data'!C30</f>
        <v/>
      </c>
      <c r="D30">
        <f>'Actual Data'!C30</f>
        <v/>
      </c>
      <c r="E30">
        <f>C30-D30</f>
        <v/>
      </c>
      <c r="F30" s="3">
        <f>D30/C30</f>
        <v/>
      </c>
      <c r="G30">
        <f>IF(D30&lt;=C30,"Under Budget","Over Budget")</f>
        <v/>
      </c>
    </row>
    <row r="31">
      <c r="A31">
        <f>'Budget Data'!A31</f>
        <v/>
      </c>
      <c r="B31">
        <f>'Budget Data'!B31</f>
        <v/>
      </c>
      <c r="C31">
        <f>'Budget Data'!C31</f>
        <v/>
      </c>
      <c r="D31">
        <f>'Actual Data'!C31</f>
        <v/>
      </c>
      <c r="E31">
        <f>C31-D31</f>
        <v/>
      </c>
      <c r="F31" s="3">
        <f>D31/C31</f>
        <v/>
      </c>
      <c r="G31">
        <f>IF(D31&lt;=C31,"Under Budget","Over Budget")</f>
        <v/>
      </c>
    </row>
    <row r="32">
      <c r="A32">
        <f>'Budget Data'!A32</f>
        <v/>
      </c>
      <c r="B32">
        <f>'Budget Data'!B32</f>
        <v/>
      </c>
      <c r="C32">
        <f>'Budget Data'!C32</f>
        <v/>
      </c>
      <c r="D32">
        <f>'Actual Data'!C32</f>
        <v/>
      </c>
      <c r="E32">
        <f>C32-D32</f>
        <v/>
      </c>
      <c r="F32" s="3">
        <f>D32/C32</f>
        <v/>
      </c>
      <c r="G32">
        <f>IF(D32&lt;=C32,"Under Budget","Over Budget")</f>
        <v/>
      </c>
    </row>
    <row r="33">
      <c r="A33">
        <f>'Budget Data'!A33</f>
        <v/>
      </c>
      <c r="B33">
        <f>'Budget Data'!B33</f>
        <v/>
      </c>
      <c r="C33">
        <f>'Budget Data'!C33</f>
        <v/>
      </c>
      <c r="D33">
        <f>'Actual Data'!C33</f>
        <v/>
      </c>
      <c r="E33">
        <f>C33-D33</f>
        <v/>
      </c>
      <c r="F33" s="3">
        <f>D33/C33</f>
        <v/>
      </c>
      <c r="G33">
        <f>IF(D33&lt;=C33,"Under Budget","Over Budget")</f>
        <v/>
      </c>
    </row>
    <row r="34">
      <c r="A34">
        <f>'Budget Data'!A34</f>
        <v/>
      </c>
      <c r="B34">
        <f>'Budget Data'!B34</f>
        <v/>
      </c>
      <c r="C34">
        <f>'Budget Data'!C34</f>
        <v/>
      </c>
      <c r="D34">
        <f>'Actual Data'!C34</f>
        <v/>
      </c>
      <c r="E34">
        <f>C34-D34</f>
        <v/>
      </c>
      <c r="F34" s="3">
        <f>D34/C34</f>
        <v/>
      </c>
      <c r="G34">
        <f>IF(D34&lt;=C34,"Under Budget","Over Budget")</f>
        <v/>
      </c>
    </row>
    <row r="35">
      <c r="A35">
        <f>'Budget Data'!A35</f>
        <v/>
      </c>
      <c r="B35">
        <f>'Budget Data'!B35</f>
        <v/>
      </c>
      <c r="C35">
        <f>'Budget Data'!C35</f>
        <v/>
      </c>
      <c r="D35">
        <f>'Actual Data'!C35</f>
        <v/>
      </c>
      <c r="E35">
        <f>C35-D35</f>
        <v/>
      </c>
      <c r="F35" s="3">
        <f>D35/C35</f>
        <v/>
      </c>
      <c r="G35">
        <f>IF(D35&lt;=C35,"Under Budget","Over Budget")</f>
        <v/>
      </c>
    </row>
    <row r="36">
      <c r="A36">
        <f>'Budget Data'!A36</f>
        <v/>
      </c>
      <c r="B36">
        <f>'Budget Data'!B36</f>
        <v/>
      </c>
      <c r="C36">
        <f>'Budget Data'!C36</f>
        <v/>
      </c>
      <c r="D36">
        <f>'Actual Data'!C36</f>
        <v/>
      </c>
      <c r="E36">
        <f>C36-D36</f>
        <v/>
      </c>
      <c r="F36" s="3">
        <f>D36/C36</f>
        <v/>
      </c>
      <c r="G36">
        <f>IF(D36&lt;=C36,"Under Budget","Over Budget")</f>
        <v/>
      </c>
    </row>
    <row r="37">
      <c r="A37">
        <f>'Budget Data'!A37</f>
        <v/>
      </c>
      <c r="B37">
        <f>'Budget Data'!B37</f>
        <v/>
      </c>
      <c r="C37">
        <f>'Budget Data'!C37</f>
        <v/>
      </c>
      <c r="D37">
        <f>'Actual Data'!C37</f>
        <v/>
      </c>
      <c r="E37">
        <f>C37-D37</f>
        <v/>
      </c>
      <c r="F37" s="3">
        <f>D37/C37</f>
        <v/>
      </c>
      <c r="G37">
        <f>IF(D37&lt;=C37,"Under Budget","Over Budget")</f>
        <v/>
      </c>
    </row>
    <row r="38">
      <c r="A38">
        <f>'Budget Data'!A38</f>
        <v/>
      </c>
      <c r="B38">
        <f>'Budget Data'!B38</f>
        <v/>
      </c>
      <c r="C38">
        <f>'Budget Data'!C38</f>
        <v/>
      </c>
      <c r="D38">
        <f>'Actual Data'!C38</f>
        <v/>
      </c>
      <c r="E38">
        <f>C38-D38</f>
        <v/>
      </c>
      <c r="F38" s="3">
        <f>D38/C38</f>
        <v/>
      </c>
      <c r="G38">
        <f>IF(D38&lt;=C38,"Under Budget","Over Budget")</f>
        <v/>
      </c>
    </row>
    <row r="39">
      <c r="A39">
        <f>'Budget Data'!A39</f>
        <v/>
      </c>
      <c r="B39">
        <f>'Budget Data'!B39</f>
        <v/>
      </c>
      <c r="C39">
        <f>'Budget Data'!C39</f>
        <v/>
      </c>
      <c r="D39">
        <f>'Actual Data'!C39</f>
        <v/>
      </c>
      <c r="E39">
        <f>C39-D39</f>
        <v/>
      </c>
      <c r="F39" s="3">
        <f>D39/C39</f>
        <v/>
      </c>
      <c r="G39">
        <f>IF(D39&lt;=C39,"Under Budget","Over Budget")</f>
        <v/>
      </c>
    </row>
    <row r="40">
      <c r="A40">
        <f>'Budget Data'!A40</f>
        <v/>
      </c>
      <c r="B40">
        <f>'Budget Data'!B40</f>
        <v/>
      </c>
      <c r="C40">
        <f>'Budget Data'!C40</f>
        <v/>
      </c>
      <c r="D40">
        <f>'Actual Data'!C40</f>
        <v/>
      </c>
      <c r="E40">
        <f>C40-D40</f>
        <v/>
      </c>
      <c r="F40" s="3">
        <f>D40/C40</f>
        <v/>
      </c>
      <c r="G40">
        <f>IF(D40&lt;=C40,"Under Budget","Over Budget")</f>
        <v/>
      </c>
    </row>
    <row r="41">
      <c r="A41">
        <f>'Budget Data'!A41</f>
        <v/>
      </c>
      <c r="B41">
        <f>'Budget Data'!B41</f>
        <v/>
      </c>
      <c r="C41">
        <f>'Budget Data'!C41</f>
        <v/>
      </c>
      <c r="D41">
        <f>'Actual Data'!C41</f>
        <v/>
      </c>
      <c r="E41">
        <f>C41-D41</f>
        <v/>
      </c>
      <c r="F41" s="3">
        <f>D41/C41</f>
        <v/>
      </c>
      <c r="G41">
        <f>IF(D41&lt;=C41,"Under Budget","Over Budget")</f>
        <v/>
      </c>
    </row>
    <row r="42">
      <c r="A42">
        <f>'Budget Data'!A42</f>
        <v/>
      </c>
      <c r="B42">
        <f>'Budget Data'!B42</f>
        <v/>
      </c>
      <c r="C42">
        <f>'Budget Data'!C42</f>
        <v/>
      </c>
      <c r="D42">
        <f>'Actual Data'!C42</f>
        <v/>
      </c>
      <c r="E42">
        <f>C42-D42</f>
        <v/>
      </c>
      <c r="F42" s="3">
        <f>D42/C42</f>
        <v/>
      </c>
      <c r="G42">
        <f>IF(D42&lt;=C42,"Under Budget","Over Budget")</f>
        <v/>
      </c>
    </row>
    <row r="43">
      <c r="A43">
        <f>'Budget Data'!A43</f>
        <v/>
      </c>
      <c r="B43">
        <f>'Budget Data'!B43</f>
        <v/>
      </c>
      <c r="C43">
        <f>'Budget Data'!C43</f>
        <v/>
      </c>
      <c r="D43">
        <f>'Actual Data'!C43</f>
        <v/>
      </c>
      <c r="E43">
        <f>C43-D43</f>
        <v/>
      </c>
      <c r="F43" s="3">
        <f>D43/C43</f>
        <v/>
      </c>
      <c r="G43">
        <f>IF(D43&lt;=C43,"Under Budget","Over Budget")</f>
        <v/>
      </c>
    </row>
    <row r="44">
      <c r="A44">
        <f>'Budget Data'!A44</f>
        <v/>
      </c>
      <c r="B44">
        <f>'Budget Data'!B44</f>
        <v/>
      </c>
      <c r="C44">
        <f>'Budget Data'!C44</f>
        <v/>
      </c>
      <c r="D44">
        <f>'Actual Data'!C44</f>
        <v/>
      </c>
      <c r="E44">
        <f>C44-D44</f>
        <v/>
      </c>
      <c r="F44" s="3">
        <f>D44/C44</f>
        <v/>
      </c>
      <c r="G44">
        <f>IF(D44&lt;=C44,"Under Budget","Over Budget")</f>
        <v/>
      </c>
    </row>
    <row r="45">
      <c r="A45">
        <f>'Budget Data'!A45</f>
        <v/>
      </c>
      <c r="B45">
        <f>'Budget Data'!B45</f>
        <v/>
      </c>
      <c r="C45">
        <f>'Budget Data'!C45</f>
        <v/>
      </c>
      <c r="D45">
        <f>'Actual Data'!C45</f>
        <v/>
      </c>
      <c r="E45">
        <f>C45-D45</f>
        <v/>
      </c>
      <c r="F45" s="3">
        <f>D45/C45</f>
        <v/>
      </c>
      <c r="G45">
        <f>IF(D45&lt;=C45,"Under Budget","Over Budget")</f>
        <v/>
      </c>
    </row>
    <row r="46">
      <c r="A46">
        <f>'Budget Data'!A46</f>
        <v/>
      </c>
      <c r="B46">
        <f>'Budget Data'!B46</f>
        <v/>
      </c>
      <c r="C46">
        <f>'Budget Data'!C46</f>
        <v/>
      </c>
      <c r="D46">
        <f>'Actual Data'!C46</f>
        <v/>
      </c>
      <c r="E46">
        <f>C46-D46</f>
        <v/>
      </c>
      <c r="F46" s="3">
        <f>D46/C46</f>
        <v/>
      </c>
      <c r="G46">
        <f>IF(D46&lt;=C46,"Under Budget","Over Budget")</f>
        <v/>
      </c>
    </row>
    <row r="47">
      <c r="A47">
        <f>'Budget Data'!A47</f>
        <v/>
      </c>
      <c r="B47">
        <f>'Budget Data'!B47</f>
        <v/>
      </c>
      <c r="C47">
        <f>'Budget Data'!C47</f>
        <v/>
      </c>
      <c r="D47">
        <f>'Actual Data'!C47</f>
        <v/>
      </c>
      <c r="E47">
        <f>C47-D47</f>
        <v/>
      </c>
      <c r="F47" s="3">
        <f>D47/C47</f>
        <v/>
      </c>
      <c r="G47">
        <f>IF(D47&lt;=C47,"Under Budget","Over Budget")</f>
        <v/>
      </c>
    </row>
    <row r="48">
      <c r="A48">
        <f>'Budget Data'!A48</f>
        <v/>
      </c>
      <c r="B48">
        <f>'Budget Data'!B48</f>
        <v/>
      </c>
      <c r="C48">
        <f>'Budget Data'!C48</f>
        <v/>
      </c>
      <c r="D48">
        <f>'Actual Data'!C48</f>
        <v/>
      </c>
      <c r="E48">
        <f>C48-D48</f>
        <v/>
      </c>
      <c r="F48" s="3">
        <f>D48/C48</f>
        <v/>
      </c>
      <c r="G48">
        <f>IF(D48&lt;=C48,"Under Budget","Over Budget")</f>
        <v/>
      </c>
    </row>
    <row r="49">
      <c r="A49">
        <f>'Budget Data'!A49</f>
        <v/>
      </c>
      <c r="B49">
        <f>'Budget Data'!B49</f>
        <v/>
      </c>
      <c r="C49">
        <f>'Budget Data'!C49</f>
        <v/>
      </c>
      <c r="D49">
        <f>'Actual Data'!C49</f>
        <v/>
      </c>
      <c r="E49">
        <f>C49-D49</f>
        <v/>
      </c>
      <c r="F49" s="3">
        <f>D49/C49</f>
        <v/>
      </c>
      <c r="G49">
        <f>IF(D49&lt;=C49,"Under Budget","Over Budget")</f>
        <v/>
      </c>
    </row>
    <row r="50">
      <c r="A50">
        <f>'Budget Data'!A50</f>
        <v/>
      </c>
      <c r="B50">
        <f>'Budget Data'!B50</f>
        <v/>
      </c>
      <c r="C50">
        <f>'Budget Data'!C50</f>
        <v/>
      </c>
      <c r="D50">
        <f>'Actual Data'!C50</f>
        <v/>
      </c>
      <c r="E50">
        <f>C50-D50</f>
        <v/>
      </c>
      <c r="F50" s="3">
        <f>D50/C50</f>
        <v/>
      </c>
      <c r="G50">
        <f>IF(D50&lt;=C50,"Under Budget","Over Budget")</f>
        <v/>
      </c>
    </row>
    <row r="51">
      <c r="A51">
        <f>'Budget Data'!A51</f>
        <v/>
      </c>
      <c r="B51">
        <f>'Budget Data'!B51</f>
        <v/>
      </c>
      <c r="C51">
        <f>'Budget Data'!C51</f>
        <v/>
      </c>
      <c r="D51">
        <f>'Actual Data'!C51</f>
        <v/>
      </c>
      <c r="E51">
        <f>C51-D51</f>
        <v/>
      </c>
      <c r="F51" s="3">
        <f>D51/C51</f>
        <v/>
      </c>
      <c r="G51">
        <f>IF(D51&lt;=C51,"Under Budget","Over Budget")</f>
        <v/>
      </c>
    </row>
    <row r="52">
      <c r="A52">
        <f>'Budget Data'!A52</f>
        <v/>
      </c>
      <c r="B52">
        <f>'Budget Data'!B52</f>
        <v/>
      </c>
      <c r="C52">
        <f>'Budget Data'!C52</f>
        <v/>
      </c>
      <c r="D52">
        <f>'Actual Data'!C52</f>
        <v/>
      </c>
      <c r="E52">
        <f>C52-D52</f>
        <v/>
      </c>
      <c r="F52" s="3">
        <f>D52/C52</f>
        <v/>
      </c>
      <c r="G52">
        <f>IF(D52&lt;=C52,"Under Budget","Over Budget")</f>
        <v/>
      </c>
    </row>
    <row r="53">
      <c r="A53">
        <f>'Budget Data'!A53</f>
        <v/>
      </c>
      <c r="B53">
        <f>'Budget Data'!B53</f>
        <v/>
      </c>
      <c r="C53">
        <f>'Budget Data'!C53</f>
        <v/>
      </c>
      <c r="D53">
        <f>'Actual Data'!C53</f>
        <v/>
      </c>
      <c r="E53">
        <f>C53-D53</f>
        <v/>
      </c>
      <c r="F53" s="3">
        <f>D53/C53</f>
        <v/>
      </c>
      <c r="G53">
        <f>IF(D53&lt;=C53,"Under Budget","Over Budget")</f>
        <v/>
      </c>
    </row>
    <row r="54">
      <c r="A54">
        <f>'Budget Data'!A54</f>
        <v/>
      </c>
      <c r="B54">
        <f>'Budget Data'!B54</f>
        <v/>
      </c>
      <c r="C54">
        <f>'Budget Data'!C54</f>
        <v/>
      </c>
      <c r="D54">
        <f>'Actual Data'!C54</f>
        <v/>
      </c>
      <c r="E54">
        <f>C54-D54</f>
        <v/>
      </c>
      <c r="F54" s="3">
        <f>D54/C54</f>
        <v/>
      </c>
      <c r="G54">
        <f>IF(D54&lt;=C54,"Under Budget","Over Budget")</f>
        <v/>
      </c>
    </row>
    <row r="55">
      <c r="A55">
        <f>'Budget Data'!A55</f>
        <v/>
      </c>
      <c r="B55">
        <f>'Budget Data'!B55</f>
        <v/>
      </c>
      <c r="C55">
        <f>'Budget Data'!C55</f>
        <v/>
      </c>
      <c r="D55">
        <f>'Actual Data'!C55</f>
        <v/>
      </c>
      <c r="E55">
        <f>C55-D55</f>
        <v/>
      </c>
      <c r="F55" s="3">
        <f>D55/C55</f>
        <v/>
      </c>
      <c r="G55">
        <f>IF(D55&lt;=C55,"Under Budget","Over Budget")</f>
        <v/>
      </c>
    </row>
    <row r="56">
      <c r="A56">
        <f>'Budget Data'!A56</f>
        <v/>
      </c>
      <c r="B56">
        <f>'Budget Data'!B56</f>
        <v/>
      </c>
      <c r="C56">
        <f>'Budget Data'!C56</f>
        <v/>
      </c>
      <c r="D56">
        <f>'Actual Data'!C56</f>
        <v/>
      </c>
      <c r="E56">
        <f>C56-D56</f>
        <v/>
      </c>
      <c r="F56" s="3">
        <f>D56/C56</f>
        <v/>
      </c>
      <c r="G56">
        <f>IF(D56&lt;=C56,"Under Budget","Over Budget")</f>
        <v/>
      </c>
    </row>
    <row r="57">
      <c r="A57">
        <f>'Budget Data'!A57</f>
        <v/>
      </c>
      <c r="B57">
        <f>'Budget Data'!B57</f>
        <v/>
      </c>
      <c r="C57">
        <f>'Budget Data'!C57</f>
        <v/>
      </c>
      <c r="D57">
        <f>'Actual Data'!C57</f>
        <v/>
      </c>
      <c r="E57">
        <f>C57-D57</f>
        <v/>
      </c>
      <c r="F57" s="3">
        <f>D57/C57</f>
        <v/>
      </c>
      <c r="G57">
        <f>IF(D57&lt;=C57,"Under Budget","Over Budget")</f>
        <v/>
      </c>
    </row>
    <row r="58">
      <c r="A58">
        <f>'Budget Data'!A58</f>
        <v/>
      </c>
      <c r="B58">
        <f>'Budget Data'!B58</f>
        <v/>
      </c>
      <c r="C58">
        <f>'Budget Data'!C58</f>
        <v/>
      </c>
      <c r="D58">
        <f>'Actual Data'!C58</f>
        <v/>
      </c>
      <c r="E58">
        <f>C58-D58</f>
        <v/>
      </c>
      <c r="F58" s="3">
        <f>D58/C58</f>
        <v/>
      </c>
      <c r="G58">
        <f>IF(D58&lt;=C58,"Under Budget","Over Budget")</f>
        <v/>
      </c>
    </row>
    <row r="59">
      <c r="A59">
        <f>'Budget Data'!A59</f>
        <v/>
      </c>
      <c r="B59">
        <f>'Budget Data'!B59</f>
        <v/>
      </c>
      <c r="C59">
        <f>'Budget Data'!C59</f>
        <v/>
      </c>
      <c r="D59">
        <f>'Actual Data'!C59</f>
        <v/>
      </c>
      <c r="E59">
        <f>C59-D59</f>
        <v/>
      </c>
      <c r="F59" s="3">
        <f>D59/C59</f>
        <v/>
      </c>
      <c r="G59">
        <f>IF(D59&lt;=C59,"Under Budget","Over Budget")</f>
        <v/>
      </c>
    </row>
    <row r="60">
      <c r="A60">
        <f>'Budget Data'!A60</f>
        <v/>
      </c>
      <c r="B60">
        <f>'Budget Data'!B60</f>
        <v/>
      </c>
      <c r="C60">
        <f>'Budget Data'!C60</f>
        <v/>
      </c>
      <c r="D60">
        <f>'Actual Data'!C60</f>
        <v/>
      </c>
      <c r="E60">
        <f>C60-D60</f>
        <v/>
      </c>
      <c r="F60" s="3">
        <f>D60/C60</f>
        <v/>
      </c>
      <c r="G60">
        <f>IF(D60&lt;=C60,"Under Budget","Over Budget")</f>
        <v/>
      </c>
    </row>
    <row r="61">
      <c r="A61">
        <f>'Budget Data'!A61</f>
        <v/>
      </c>
      <c r="B61">
        <f>'Budget Data'!B61</f>
        <v/>
      </c>
      <c r="C61">
        <f>'Budget Data'!C61</f>
        <v/>
      </c>
      <c r="D61">
        <f>'Actual Data'!C61</f>
        <v/>
      </c>
      <c r="E61">
        <f>C61-D61</f>
        <v/>
      </c>
      <c r="F61" s="3">
        <f>D61/C61</f>
        <v/>
      </c>
      <c r="G61">
        <f>IF(D61&lt;=C61,"Under Budget","Over Budget")</f>
        <v/>
      </c>
    </row>
    <row r="62">
      <c r="A62">
        <f>'Budget Data'!A62</f>
        <v/>
      </c>
      <c r="B62">
        <f>'Budget Data'!B62</f>
        <v/>
      </c>
      <c r="C62">
        <f>'Budget Data'!C62</f>
        <v/>
      </c>
      <c r="D62">
        <f>'Actual Data'!C62</f>
        <v/>
      </c>
      <c r="E62">
        <f>C62-D62</f>
        <v/>
      </c>
      <c r="F62" s="3">
        <f>D62/C62</f>
        <v/>
      </c>
      <c r="G62">
        <f>IF(D62&lt;=C62,"Under Budget","Over Budget")</f>
        <v/>
      </c>
    </row>
    <row r="63">
      <c r="A63">
        <f>'Budget Data'!A63</f>
        <v/>
      </c>
      <c r="B63">
        <f>'Budget Data'!B63</f>
        <v/>
      </c>
      <c r="C63">
        <f>'Budget Data'!C63</f>
        <v/>
      </c>
      <c r="D63">
        <f>'Actual Data'!C63</f>
        <v/>
      </c>
      <c r="E63">
        <f>C63-D63</f>
        <v/>
      </c>
      <c r="F63" s="3">
        <f>D63/C63</f>
        <v/>
      </c>
      <c r="G63">
        <f>IF(D63&lt;=C63,"Under Budget","Over Budget")</f>
        <v/>
      </c>
    </row>
    <row r="64">
      <c r="A64">
        <f>'Budget Data'!A64</f>
        <v/>
      </c>
      <c r="B64">
        <f>'Budget Data'!B64</f>
        <v/>
      </c>
      <c r="C64">
        <f>'Budget Data'!C64</f>
        <v/>
      </c>
      <c r="D64">
        <f>'Actual Data'!C64</f>
        <v/>
      </c>
      <c r="E64">
        <f>C64-D64</f>
        <v/>
      </c>
      <c r="F64" s="3">
        <f>D64/C64</f>
        <v/>
      </c>
      <c r="G64">
        <f>IF(D64&lt;=C64,"Under Budget","Over Budget")</f>
        <v/>
      </c>
    </row>
    <row r="65">
      <c r="A65">
        <f>'Budget Data'!A65</f>
        <v/>
      </c>
      <c r="B65">
        <f>'Budget Data'!B65</f>
        <v/>
      </c>
      <c r="C65">
        <f>'Budget Data'!C65</f>
        <v/>
      </c>
      <c r="D65">
        <f>'Actual Data'!C65</f>
        <v/>
      </c>
      <c r="E65">
        <f>C65-D65</f>
        <v/>
      </c>
      <c r="F65" s="3">
        <f>D65/C65</f>
        <v/>
      </c>
      <c r="G65">
        <f>IF(D65&lt;=C65,"Under Budget","Over Budget")</f>
        <v/>
      </c>
    </row>
    <row r="66">
      <c r="A66">
        <f>'Budget Data'!A66</f>
        <v/>
      </c>
      <c r="B66">
        <f>'Budget Data'!B66</f>
        <v/>
      </c>
      <c r="C66">
        <f>'Budget Data'!C66</f>
        <v/>
      </c>
      <c r="D66">
        <f>'Actual Data'!C66</f>
        <v/>
      </c>
      <c r="E66">
        <f>C66-D66</f>
        <v/>
      </c>
      <c r="F66" s="3">
        <f>D66/C66</f>
        <v/>
      </c>
      <c r="G66">
        <f>IF(D66&lt;=C66,"Under Budget","Over Budget")</f>
        <v/>
      </c>
    </row>
    <row r="67">
      <c r="A67">
        <f>'Budget Data'!A67</f>
        <v/>
      </c>
      <c r="B67">
        <f>'Budget Data'!B67</f>
        <v/>
      </c>
      <c r="C67">
        <f>'Budget Data'!C67</f>
        <v/>
      </c>
      <c r="D67">
        <f>'Actual Data'!C67</f>
        <v/>
      </c>
      <c r="E67">
        <f>C67-D67</f>
        <v/>
      </c>
      <c r="F67" s="3">
        <f>D67/C67</f>
        <v/>
      </c>
      <c r="G67">
        <f>IF(D67&lt;=C67,"Under Budget","Over Budget")</f>
        <v/>
      </c>
    </row>
    <row r="68">
      <c r="A68">
        <f>'Budget Data'!A68</f>
        <v/>
      </c>
      <c r="B68">
        <f>'Budget Data'!B68</f>
        <v/>
      </c>
      <c r="C68">
        <f>'Budget Data'!C68</f>
        <v/>
      </c>
      <c r="D68">
        <f>'Actual Data'!C68</f>
        <v/>
      </c>
      <c r="E68">
        <f>C68-D68</f>
        <v/>
      </c>
      <c r="F68" s="3">
        <f>D68/C68</f>
        <v/>
      </c>
      <c r="G68">
        <f>IF(D68&lt;=C68,"Under Budget","Over Budget")</f>
        <v/>
      </c>
    </row>
    <row r="69">
      <c r="A69">
        <f>'Budget Data'!A69</f>
        <v/>
      </c>
      <c r="B69">
        <f>'Budget Data'!B69</f>
        <v/>
      </c>
      <c r="C69">
        <f>'Budget Data'!C69</f>
        <v/>
      </c>
      <c r="D69">
        <f>'Actual Data'!C69</f>
        <v/>
      </c>
      <c r="E69">
        <f>C69-D69</f>
        <v/>
      </c>
      <c r="F69" s="3">
        <f>D69/C69</f>
        <v/>
      </c>
      <c r="G69">
        <f>IF(D69&lt;=C69,"Under Budget","Over Budget")</f>
        <v/>
      </c>
    </row>
    <row r="70">
      <c r="A70">
        <f>'Budget Data'!A70</f>
        <v/>
      </c>
      <c r="B70">
        <f>'Budget Data'!B70</f>
        <v/>
      </c>
      <c r="C70">
        <f>'Budget Data'!C70</f>
        <v/>
      </c>
      <c r="D70">
        <f>'Actual Data'!C70</f>
        <v/>
      </c>
      <c r="E70">
        <f>C70-D70</f>
        <v/>
      </c>
      <c r="F70" s="3">
        <f>D70/C70</f>
        <v/>
      </c>
      <c r="G70">
        <f>IF(D70&lt;=C70,"Under Budget","Over Budget")</f>
        <v/>
      </c>
    </row>
    <row r="71">
      <c r="A71">
        <f>'Budget Data'!A71</f>
        <v/>
      </c>
      <c r="B71">
        <f>'Budget Data'!B71</f>
        <v/>
      </c>
      <c r="C71">
        <f>'Budget Data'!C71</f>
        <v/>
      </c>
      <c r="D71">
        <f>'Actual Data'!C71</f>
        <v/>
      </c>
      <c r="E71">
        <f>C71-D71</f>
        <v/>
      </c>
      <c r="F71" s="3">
        <f>D71/C71</f>
        <v/>
      </c>
      <c r="G71">
        <f>IF(D71&lt;=C71,"Under Budget","Over Budget")</f>
        <v/>
      </c>
    </row>
    <row r="72">
      <c r="A72">
        <f>'Budget Data'!A72</f>
        <v/>
      </c>
      <c r="B72">
        <f>'Budget Data'!B72</f>
        <v/>
      </c>
      <c r="C72">
        <f>'Budget Data'!C72</f>
        <v/>
      </c>
      <c r="D72">
        <f>'Actual Data'!C72</f>
        <v/>
      </c>
      <c r="E72">
        <f>C72-D72</f>
        <v/>
      </c>
      <c r="F72" s="3">
        <f>D72/C72</f>
        <v/>
      </c>
      <c r="G72">
        <f>IF(D72&lt;=C72,"Under Budget","Over Budget")</f>
        <v/>
      </c>
    </row>
    <row r="73">
      <c r="A73">
        <f>'Budget Data'!A73</f>
        <v/>
      </c>
      <c r="B73">
        <f>'Budget Data'!B73</f>
        <v/>
      </c>
      <c r="C73">
        <f>'Budget Data'!C73</f>
        <v/>
      </c>
      <c r="D73">
        <f>'Actual Data'!C73</f>
        <v/>
      </c>
      <c r="E73">
        <f>C73-D73</f>
        <v/>
      </c>
      <c r="F73" s="3">
        <f>D73/C73</f>
        <v/>
      </c>
      <c r="G73">
        <f>IF(D73&lt;=C73,"Under Budget","Over Budget")</f>
        <v/>
      </c>
    </row>
    <row r="74">
      <c r="A74">
        <f>'Budget Data'!A74</f>
        <v/>
      </c>
      <c r="B74">
        <f>'Budget Data'!B74</f>
        <v/>
      </c>
      <c r="C74">
        <f>'Budget Data'!C74</f>
        <v/>
      </c>
      <c r="D74">
        <f>'Actual Data'!C74</f>
        <v/>
      </c>
      <c r="E74">
        <f>C74-D74</f>
        <v/>
      </c>
      <c r="F74" s="3">
        <f>D74/C74</f>
        <v/>
      </c>
      <c r="G74">
        <f>IF(D74&lt;=C74,"Under Budget","Over Budget")</f>
        <v/>
      </c>
    </row>
    <row r="75">
      <c r="A75">
        <f>'Budget Data'!A75</f>
        <v/>
      </c>
      <c r="B75">
        <f>'Budget Data'!B75</f>
        <v/>
      </c>
      <c r="C75">
        <f>'Budget Data'!C75</f>
        <v/>
      </c>
      <c r="D75">
        <f>'Actual Data'!C75</f>
        <v/>
      </c>
      <c r="E75">
        <f>C75-D75</f>
        <v/>
      </c>
      <c r="F75" s="3">
        <f>D75/C75</f>
        <v/>
      </c>
      <c r="G75">
        <f>IF(D75&lt;=C75,"Under Budget","Over Budget")</f>
        <v/>
      </c>
    </row>
    <row r="76">
      <c r="A76">
        <f>'Budget Data'!A76</f>
        <v/>
      </c>
      <c r="B76">
        <f>'Budget Data'!B76</f>
        <v/>
      </c>
      <c r="C76">
        <f>'Budget Data'!C76</f>
        <v/>
      </c>
      <c r="D76">
        <f>'Actual Data'!C76</f>
        <v/>
      </c>
      <c r="E76">
        <f>C76-D76</f>
        <v/>
      </c>
      <c r="F76" s="3">
        <f>D76/C76</f>
        <v/>
      </c>
      <c r="G76">
        <f>IF(D76&lt;=C76,"Under Budget","Over Budget")</f>
        <v/>
      </c>
    </row>
    <row r="77">
      <c r="A77">
        <f>'Budget Data'!A77</f>
        <v/>
      </c>
      <c r="B77">
        <f>'Budget Data'!B77</f>
        <v/>
      </c>
      <c r="C77">
        <f>'Budget Data'!C77</f>
        <v/>
      </c>
      <c r="D77">
        <f>'Actual Data'!C77</f>
        <v/>
      </c>
      <c r="E77">
        <f>C77-D77</f>
        <v/>
      </c>
      <c r="F77" s="3">
        <f>D77/C77</f>
        <v/>
      </c>
      <c r="G77">
        <f>IF(D77&lt;=C77,"Under Budget","Over Budget")</f>
        <v/>
      </c>
    </row>
    <row r="78">
      <c r="A78">
        <f>'Budget Data'!A78</f>
        <v/>
      </c>
      <c r="B78">
        <f>'Budget Data'!B78</f>
        <v/>
      </c>
      <c r="C78">
        <f>'Budget Data'!C78</f>
        <v/>
      </c>
      <c r="D78">
        <f>'Actual Data'!C78</f>
        <v/>
      </c>
      <c r="E78">
        <f>C78-D78</f>
        <v/>
      </c>
      <c r="F78" s="3">
        <f>D78/C78</f>
        <v/>
      </c>
      <c r="G78">
        <f>IF(D78&lt;=C78,"Under Budget","Over Budget")</f>
        <v/>
      </c>
    </row>
    <row r="79">
      <c r="A79">
        <f>'Budget Data'!A79</f>
        <v/>
      </c>
      <c r="B79">
        <f>'Budget Data'!B79</f>
        <v/>
      </c>
      <c r="C79">
        <f>'Budget Data'!C79</f>
        <v/>
      </c>
      <c r="D79">
        <f>'Actual Data'!C79</f>
        <v/>
      </c>
      <c r="E79">
        <f>C79-D79</f>
        <v/>
      </c>
      <c r="F79" s="3">
        <f>D79/C79</f>
        <v/>
      </c>
      <c r="G79">
        <f>IF(D79&lt;=C79,"Under Budget","Over Budget")</f>
        <v/>
      </c>
    </row>
    <row r="80">
      <c r="A80">
        <f>'Budget Data'!A80</f>
        <v/>
      </c>
      <c r="B80">
        <f>'Budget Data'!B80</f>
        <v/>
      </c>
      <c r="C80">
        <f>'Budget Data'!C80</f>
        <v/>
      </c>
      <c r="D80">
        <f>'Actual Data'!C80</f>
        <v/>
      </c>
      <c r="E80">
        <f>C80-D80</f>
        <v/>
      </c>
      <c r="F80" s="3">
        <f>D80/C80</f>
        <v/>
      </c>
      <c r="G80">
        <f>IF(D80&lt;=C80,"Under Budget","Over Budget")</f>
        <v/>
      </c>
    </row>
    <row r="81">
      <c r="A81">
        <f>'Budget Data'!A81</f>
        <v/>
      </c>
      <c r="B81">
        <f>'Budget Data'!B81</f>
        <v/>
      </c>
      <c r="C81">
        <f>'Budget Data'!C81</f>
        <v/>
      </c>
      <c r="D81">
        <f>'Actual Data'!C81</f>
        <v/>
      </c>
      <c r="E81">
        <f>C81-D81</f>
        <v/>
      </c>
      <c r="F81" s="3">
        <f>D81/C81</f>
        <v/>
      </c>
      <c r="G81">
        <f>IF(D81&lt;=C81,"Under Budget","Over Budget")</f>
        <v/>
      </c>
    </row>
    <row r="82">
      <c r="A82">
        <f>'Budget Data'!A82</f>
        <v/>
      </c>
      <c r="B82">
        <f>'Budget Data'!B82</f>
        <v/>
      </c>
      <c r="C82">
        <f>'Budget Data'!C82</f>
        <v/>
      </c>
      <c r="D82">
        <f>'Actual Data'!C82</f>
        <v/>
      </c>
      <c r="E82">
        <f>C82-D82</f>
        <v/>
      </c>
      <c r="F82" s="3">
        <f>D82/C82</f>
        <v/>
      </c>
      <c r="G82">
        <f>IF(D82&lt;=C82,"Under Budget","Over Budget")</f>
        <v/>
      </c>
    </row>
    <row r="83">
      <c r="A83">
        <f>'Budget Data'!A83</f>
        <v/>
      </c>
      <c r="B83">
        <f>'Budget Data'!B83</f>
        <v/>
      </c>
      <c r="C83">
        <f>'Budget Data'!C83</f>
        <v/>
      </c>
      <c r="D83">
        <f>'Actual Data'!C83</f>
        <v/>
      </c>
      <c r="E83">
        <f>C83-D83</f>
        <v/>
      </c>
      <c r="F83" s="3">
        <f>D83/C83</f>
        <v/>
      </c>
      <c r="G83">
        <f>IF(D83&lt;=C83,"Under Budget","Over Budget")</f>
        <v/>
      </c>
    </row>
    <row r="84">
      <c r="A84">
        <f>'Budget Data'!A84</f>
        <v/>
      </c>
      <c r="B84">
        <f>'Budget Data'!B84</f>
        <v/>
      </c>
      <c r="C84">
        <f>'Budget Data'!C84</f>
        <v/>
      </c>
      <c r="D84">
        <f>'Actual Data'!C84</f>
        <v/>
      </c>
      <c r="E84">
        <f>C84-D84</f>
        <v/>
      </c>
      <c r="F84" s="3">
        <f>D84/C84</f>
        <v/>
      </c>
      <c r="G84">
        <f>IF(D84&lt;=C84,"Under Budget","Over Budget")</f>
        <v/>
      </c>
    </row>
    <row r="85">
      <c r="A85">
        <f>'Budget Data'!A85</f>
        <v/>
      </c>
      <c r="B85">
        <f>'Budget Data'!B85</f>
        <v/>
      </c>
      <c r="C85">
        <f>'Budget Data'!C85</f>
        <v/>
      </c>
      <c r="D85">
        <f>'Actual Data'!C85</f>
        <v/>
      </c>
      <c r="E85">
        <f>C85-D85</f>
        <v/>
      </c>
      <c r="F85" s="3">
        <f>D85/C85</f>
        <v/>
      </c>
      <c r="G85">
        <f>IF(D85&lt;=C85,"Under Budget","Over Budget")</f>
        <v/>
      </c>
    </row>
    <row r="86">
      <c r="A86">
        <f>'Budget Data'!A86</f>
        <v/>
      </c>
      <c r="B86">
        <f>'Budget Data'!B86</f>
        <v/>
      </c>
      <c r="C86">
        <f>'Budget Data'!C86</f>
        <v/>
      </c>
      <c r="D86">
        <f>'Actual Data'!C86</f>
        <v/>
      </c>
      <c r="E86">
        <f>C86-D86</f>
        <v/>
      </c>
      <c r="F86" s="3">
        <f>D86/C86</f>
        <v/>
      </c>
      <c r="G86">
        <f>IF(D86&lt;=C86,"Under Budget","Over Budget")</f>
        <v/>
      </c>
    </row>
    <row r="87">
      <c r="A87">
        <f>'Budget Data'!A87</f>
        <v/>
      </c>
      <c r="B87">
        <f>'Budget Data'!B87</f>
        <v/>
      </c>
      <c r="C87">
        <f>'Budget Data'!C87</f>
        <v/>
      </c>
      <c r="D87">
        <f>'Actual Data'!C87</f>
        <v/>
      </c>
      <c r="E87">
        <f>C87-D87</f>
        <v/>
      </c>
      <c r="F87" s="3">
        <f>D87/C87</f>
        <v/>
      </c>
      <c r="G87">
        <f>IF(D87&lt;=C87,"Under Budget","Over Budget")</f>
        <v/>
      </c>
    </row>
    <row r="88">
      <c r="A88">
        <f>'Budget Data'!A88</f>
        <v/>
      </c>
      <c r="B88">
        <f>'Budget Data'!B88</f>
        <v/>
      </c>
      <c r="C88">
        <f>'Budget Data'!C88</f>
        <v/>
      </c>
      <c r="D88">
        <f>'Actual Data'!C88</f>
        <v/>
      </c>
      <c r="E88">
        <f>C88-D88</f>
        <v/>
      </c>
      <c r="F88" s="3">
        <f>D88/C88</f>
        <v/>
      </c>
      <c r="G88">
        <f>IF(D88&lt;=C88,"Under Budget","Over Budget")</f>
        <v/>
      </c>
    </row>
    <row r="89">
      <c r="A89">
        <f>'Budget Data'!A89</f>
        <v/>
      </c>
      <c r="B89">
        <f>'Budget Data'!B89</f>
        <v/>
      </c>
      <c r="C89">
        <f>'Budget Data'!C89</f>
        <v/>
      </c>
      <c r="D89">
        <f>'Actual Data'!C89</f>
        <v/>
      </c>
      <c r="E89">
        <f>C89-D89</f>
        <v/>
      </c>
      <c r="F89" s="3">
        <f>D89/C89</f>
        <v/>
      </c>
      <c r="G89">
        <f>IF(D89&lt;=C89,"Under Budget","Over Budget")</f>
        <v/>
      </c>
    </row>
    <row r="90">
      <c r="A90">
        <f>'Budget Data'!A90</f>
        <v/>
      </c>
      <c r="B90">
        <f>'Budget Data'!B90</f>
        <v/>
      </c>
      <c r="C90">
        <f>'Budget Data'!C90</f>
        <v/>
      </c>
      <c r="D90">
        <f>'Actual Data'!C90</f>
        <v/>
      </c>
      <c r="E90">
        <f>C90-D90</f>
        <v/>
      </c>
      <c r="F90" s="3">
        <f>D90/C90</f>
        <v/>
      </c>
      <c r="G90">
        <f>IF(D90&lt;=C90,"Under Budget","Over Budget")</f>
        <v/>
      </c>
    </row>
    <row r="91">
      <c r="A91">
        <f>'Budget Data'!A91</f>
        <v/>
      </c>
      <c r="B91">
        <f>'Budget Data'!B91</f>
        <v/>
      </c>
      <c r="C91">
        <f>'Budget Data'!C91</f>
        <v/>
      </c>
      <c r="D91">
        <f>'Actual Data'!C91</f>
        <v/>
      </c>
      <c r="E91">
        <f>C91-D91</f>
        <v/>
      </c>
      <c r="F91" s="3">
        <f>D91/C91</f>
        <v/>
      </c>
      <c r="G91">
        <f>IF(D91&lt;=C91,"Under Budget","Over Budget")</f>
        <v/>
      </c>
    </row>
    <row r="92">
      <c r="A92">
        <f>'Budget Data'!A92</f>
        <v/>
      </c>
      <c r="B92">
        <f>'Budget Data'!B92</f>
        <v/>
      </c>
      <c r="C92">
        <f>'Budget Data'!C92</f>
        <v/>
      </c>
      <c r="D92">
        <f>'Actual Data'!C92</f>
        <v/>
      </c>
      <c r="E92">
        <f>C92-D92</f>
        <v/>
      </c>
      <c r="F92" s="3">
        <f>D92/C92</f>
        <v/>
      </c>
      <c r="G92">
        <f>IF(D92&lt;=C92,"Under Budget","Over Budget")</f>
        <v/>
      </c>
    </row>
    <row r="93">
      <c r="A93">
        <f>'Budget Data'!A93</f>
        <v/>
      </c>
      <c r="B93">
        <f>'Budget Data'!B93</f>
        <v/>
      </c>
      <c r="C93">
        <f>'Budget Data'!C93</f>
        <v/>
      </c>
      <c r="D93">
        <f>'Actual Data'!C93</f>
        <v/>
      </c>
      <c r="E93">
        <f>C93-D93</f>
        <v/>
      </c>
      <c r="F93" s="3">
        <f>D93/C93</f>
        <v/>
      </c>
      <c r="G93">
        <f>IF(D93&lt;=C93,"Under Budget","Over Budget")</f>
        <v/>
      </c>
    </row>
    <row r="94">
      <c r="A94">
        <f>'Budget Data'!A94</f>
        <v/>
      </c>
      <c r="B94">
        <f>'Budget Data'!B94</f>
        <v/>
      </c>
      <c r="C94">
        <f>'Budget Data'!C94</f>
        <v/>
      </c>
      <c r="D94">
        <f>'Actual Data'!C94</f>
        <v/>
      </c>
      <c r="E94">
        <f>C94-D94</f>
        <v/>
      </c>
      <c r="F94" s="3">
        <f>D94/C94</f>
        <v/>
      </c>
      <c r="G94">
        <f>IF(D94&lt;=C94,"Under Budget","Over Budget")</f>
        <v/>
      </c>
    </row>
    <row r="95">
      <c r="A95">
        <f>'Budget Data'!A95</f>
        <v/>
      </c>
      <c r="B95">
        <f>'Budget Data'!B95</f>
        <v/>
      </c>
      <c r="C95">
        <f>'Budget Data'!C95</f>
        <v/>
      </c>
      <c r="D95">
        <f>'Actual Data'!C95</f>
        <v/>
      </c>
      <c r="E95">
        <f>C95-D95</f>
        <v/>
      </c>
      <c r="F95" s="3">
        <f>D95/C95</f>
        <v/>
      </c>
      <c r="G95">
        <f>IF(D95&lt;=C95,"Under Budget","Over Budget")</f>
        <v/>
      </c>
    </row>
    <row r="96">
      <c r="A96">
        <f>'Budget Data'!A96</f>
        <v/>
      </c>
      <c r="B96">
        <f>'Budget Data'!B96</f>
        <v/>
      </c>
      <c r="C96">
        <f>'Budget Data'!C96</f>
        <v/>
      </c>
      <c r="D96">
        <f>'Actual Data'!C96</f>
        <v/>
      </c>
      <c r="E96">
        <f>C96-D96</f>
        <v/>
      </c>
      <c r="F96" s="3">
        <f>D96/C96</f>
        <v/>
      </c>
      <c r="G96">
        <f>IF(D96&lt;=C96,"Under Budget","Over Budget")</f>
        <v/>
      </c>
    </row>
    <row r="97">
      <c r="A97">
        <f>'Budget Data'!A97</f>
        <v/>
      </c>
      <c r="B97">
        <f>'Budget Data'!B97</f>
        <v/>
      </c>
      <c r="C97">
        <f>'Budget Data'!C97</f>
        <v/>
      </c>
      <c r="D97">
        <f>'Actual Data'!C97</f>
        <v/>
      </c>
      <c r="E97">
        <f>C97-D97</f>
        <v/>
      </c>
      <c r="F97" s="3">
        <f>D97/C97</f>
        <v/>
      </c>
      <c r="G97">
        <f>IF(D97&lt;=C97,"Under Budget","Over Budget")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 vs Actual Dashboard</t>
        </is>
      </c>
    </row>
    <row r="3">
      <c r="A3" t="inlineStr">
        <is>
          <t>Total Budget</t>
        </is>
      </c>
      <c r="B3">
        <f>SUM('Budget Data'!C2:C97)</f>
        <v/>
      </c>
    </row>
    <row r="4">
      <c r="A4" t="inlineStr">
        <is>
          <t>Total Actual</t>
        </is>
      </c>
      <c r="B4">
        <f>SUM('Actual Data'!C2:C97)</f>
        <v/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Budget Utilization</t>
        </is>
      </c>
      <c r="B6" s="3">
        <f>B4/B3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Insight</t>
        </is>
      </c>
    </row>
    <row r="3">
      <c r="A3" t="inlineStr">
        <is>
          <t>Analisis dilakukan dengan membandingkan Budget dan Actual.</t>
        </is>
      </c>
    </row>
    <row r="4">
      <c r="A4" t="inlineStr">
        <is>
          <t>Kategori dengan Actual &gt; Budget diklasifikasikan sebagai Over Budget.</t>
        </is>
      </c>
    </row>
    <row r="5">
      <c r="A5" t="inlineStr">
        <is>
          <t>Gunakan Dashboard untuk melihat ringkasan KPI.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2026-08-01T14:05:12Z</dcterms:created>
  <dcterms:modified xmlns:dcterms="http://purl.org/dc/terms/" xmlns:xsi="http://www.w3.org/2001/XMLSchema-instance" xsi:type="dcterms:W3CDTF">2026-08-01T14:05:12Z</dcterms:modified>
</cp:coreProperties>
</file>