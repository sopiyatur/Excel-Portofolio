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Portofolio Kerja Finance\"/>
    </mc:Choice>
  </mc:AlternateContent>
  <bookViews>
    <workbookView xWindow="0" yWindow="0" windowWidth="20490" windowHeight="7650" activeTab="4"/>
  </bookViews>
  <sheets>
    <sheet name="AR Data" sheetId="1" r:id="rId1"/>
    <sheet name="Project Guide" sheetId="2" r:id="rId2"/>
    <sheet name="Pivot Customer Analysis" sheetId="4" r:id="rId3"/>
    <sheet name="Aging Analysis" sheetId="5" r:id="rId4"/>
    <sheet name="Dashboard" sheetId="6" r:id="rId5"/>
    <sheet name="Pivot Analysis" sheetId="3" state="hidden" r:id="rId6"/>
  </sheets>
  <calcPr calcId="162913"/>
  <pivotCaches>
    <pivotCache cacheId="0" r:id="rId7"/>
  </pivotCaches>
</workbook>
</file>

<file path=xl/calcChain.xml><?xml version="1.0" encoding="utf-8"?>
<calcChain xmlns="http://schemas.openxmlformats.org/spreadsheetml/2006/main">
  <c r="B7" i="6" l="1"/>
  <c r="B5" i="6"/>
  <c r="B4" i="6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2" i="1"/>
  <c r="J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B6" i="6" l="1"/>
</calcChain>
</file>

<file path=xl/sharedStrings.xml><?xml version="1.0" encoding="utf-8"?>
<sst xmlns="http://schemas.openxmlformats.org/spreadsheetml/2006/main" count="258" uniqueCount="155">
  <si>
    <t>Invoice ID</t>
  </si>
  <si>
    <t>Customer</t>
  </si>
  <si>
    <t>Invoice Date</t>
  </si>
  <si>
    <t>Due Date</t>
  </si>
  <si>
    <t>Payment Date</t>
  </si>
  <si>
    <t>Invoice Amount</t>
  </si>
  <si>
    <t>Payment Amount</t>
  </si>
  <si>
    <t>Outstanding</t>
  </si>
  <si>
    <t>Days Overdue</t>
  </si>
  <si>
    <t>Aging Category</t>
  </si>
  <si>
    <t>Payment Status</t>
  </si>
  <si>
    <t>INV-001</t>
  </si>
  <si>
    <t>PT Sinar Terang</t>
  </si>
  <si>
    <t>INV-002</t>
  </si>
  <si>
    <t>PT Cipta Mandiri</t>
  </si>
  <si>
    <t>INV-003</t>
  </si>
  <si>
    <t>PT Artha Mandiri</t>
  </si>
  <si>
    <t>INV-004</t>
  </si>
  <si>
    <t>PT Mitra Usaha</t>
  </si>
  <si>
    <t>INV-005</t>
  </si>
  <si>
    <t>CV Sentosa Abadi</t>
  </si>
  <si>
    <t>INV-006</t>
  </si>
  <si>
    <t>PT Prima Jaya</t>
  </si>
  <si>
    <t>INV-007</t>
  </si>
  <si>
    <t>PT Nusantara Abadi</t>
  </si>
  <si>
    <t>INV-008</t>
  </si>
  <si>
    <t>INV-009</t>
  </si>
  <si>
    <t>CV Makmur Jaya</t>
  </si>
  <si>
    <t>INV-010</t>
  </si>
  <si>
    <t>INV-011</t>
  </si>
  <si>
    <t>INV-012</t>
  </si>
  <si>
    <t>PT Global Niaga</t>
  </si>
  <si>
    <t>INV-013</t>
  </si>
  <si>
    <t>INV-014</t>
  </si>
  <si>
    <t>INV-015</t>
  </si>
  <si>
    <t>PT Cahaya Nusantara</t>
  </si>
  <si>
    <t>INV-016</t>
  </si>
  <si>
    <t>INV-017</t>
  </si>
  <si>
    <t>PT Bintang Timur</t>
  </si>
  <si>
    <t>INV-018</t>
  </si>
  <si>
    <t>CV Sejahtera</t>
  </si>
  <si>
    <t>INV-019</t>
  </si>
  <si>
    <t>CV Harapan Baru</t>
  </si>
  <si>
    <t>INV-020</t>
  </si>
  <si>
    <t>CV Aneka Niaga</t>
  </si>
  <si>
    <t>INV-021</t>
  </si>
  <si>
    <t>INV-022</t>
  </si>
  <si>
    <t>INV-023</t>
  </si>
  <si>
    <t>PT Karya Utama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</si>
  <si>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</si>
  <si>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</si>
  <si>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</si>
  <si>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</si>
  <si>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</si>
  <si>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</si>
  <si>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</si>
  <si>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</si>
  <si>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</si>
  <si>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</si>
  <si>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</si>
  <si>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</si>
  <si>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PT Sukses Bersama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</si>
  <si>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</si>
  <si>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</si>
  <si>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</si>
  <si>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</si>
  <si>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</si>
  <si>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</si>
  <si>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</si>
  <si>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</si>
  <si>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</si>
  <si>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CV Berkah Sentosa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</si>
  <si>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</si>
  <si>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</si>
  <si>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</si>
  <si>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</si>
  <si>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</si>
  <si>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</si>
  <si>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</si>
  <si>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</si>
  <si>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</si>
  <si>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</si>
  <si>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</si>
  <si>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</si>
  <si>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</si>
  <si>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</si>
  <si>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</si>
  <si>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</si>
  <si>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</si>
  <si>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</si>
  <si>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</si>
  <si>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</si>
  <si>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</si>
  <si>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</si>
  <si>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</si>
  <si>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</si>
  <si>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</si>
  <si>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</si>
  <si>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</si>
  <si>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</si>
  <si>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PT Maju Jaya</t>
  </si>
  <si>
    <t>INV-073</t>
  </si>
  <si>
    <t>INV-074</t>
  </si>
  <si>
    <t>INV-075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</si>
  <si>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</si>
  <si>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</si>
  <si>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</si>
  <si>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</si>
  <si>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</si>
  <si>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</si>
  <si>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</si>
  <si>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</si>
  <si>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</si>
  <si>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</si>
  <si>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</si>
  <si>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</si>
  <si>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</si>
  <si>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INV-089</t>
  </si>
  <si>
    <t>INV-090</t>
  </si>
  <si>
    <t>INV-091</t>
  </si>
  <si>
    <t>INV-092</t>
  </si>
  <si>
    <t>INV-093</t>
  </si>
  <si>
    <t>INV-094</t>
  </si>
  <si>
    <t>INV-095</t>
  </si>
  <si>
    <t>INV-096</t>
  </si>
  <si>
    <t>INV-097</t>
  </si>
  <si>
    <t>INV-098</t>
  </si>
  <si>
    <t>INV-099</t>
  </si>
  <si>
    <t>INV-100</t>
  </si>
  <si>
    <t>Accounts Receivable Aging Analysis</t>
  </si>
  <si>
    <t>Goal: Analyze outstanding customer receivables and identify overdue balances.</t>
  </si>
  <si>
    <t>Dataset: 100 invoice transactions, 18 customers, January–December 2025.</t>
  </si>
  <si>
    <t>Your tasks:</t>
  </si>
  <si>
    <t>1. Calculate Outstanding = Invoice Amount - Payment Amount.</t>
  </si>
  <si>
    <t>2. Calculate Days Overdue.</t>
  </si>
  <si>
    <t>3. Create Aging Category: Current, 1–30, 31–60, 61–90, &gt;90 Days.</t>
  </si>
  <si>
    <t>4. Create Payment Status: Paid, Partial, Unpaid.</t>
  </si>
  <si>
    <t>5. Create Pivot Tables for customer and aging analysis.</t>
  </si>
  <si>
    <t>6. Build a dashboard with KPIs and charts.</t>
  </si>
  <si>
    <t>Recommended KPIs:</t>
  </si>
  <si>
    <t>Total Invoice Amount | Total Outstanding | Overdue Amount | Collection Rate</t>
  </si>
  <si>
    <t>Row Labels</t>
  </si>
  <si>
    <t>Grand Total</t>
  </si>
  <si>
    <t>Sum of Outstanding</t>
  </si>
  <si>
    <t>&gt;90 Days</t>
  </si>
  <si>
    <t>1-30 Days</t>
  </si>
  <si>
    <t>31-60 Days</t>
  </si>
  <si>
    <t>Current</t>
  </si>
  <si>
    <t>Total Outstanding</t>
  </si>
  <si>
    <t>Total Invoice Amount</t>
  </si>
  <si>
    <t>Overdue Amount</t>
  </si>
  <si>
    <t>Collection Rate</t>
  </si>
  <si>
    <t>KPI</t>
  </si>
  <si>
    <t>Nilai</t>
  </si>
  <si>
    <t>Accounts Receivable Aging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</si>
</sst>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Border="1"/>
    <xf numFmtId="9" fontId="0" fillId="0" borderId="1" xfId="1" applyFont="1" applyBorder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[Accounts_Receivable_Aging_Analysis.xlsx]Aging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Outstanding</a:t>
            </a:r>
            <a:r>
              <a:rPr lang="id-ID" baseline="0"/>
              <a:t> by Aging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'Aging Analysis'!$A$4:$A$8</c:f>
              <c:strCache>
                <c:ptCount val="4"/>
                <c:pt idx="0">
                  <c:v>&gt;90 Days</c:v>
                </c:pt>
                <c:pt idx="1">
                  <c:v>1-30 Days</c:v>
                </c:pt>
                <c:pt idx="2">
                  <c:v>31-60 Days</c:v>
                </c:pt>
                <c:pt idx="3">
                  <c:v>Current</c:v>
                </c:pt>
              </c:strCache>
            </c:strRef>
          </c:cat>
          <c:val>
            <c:numRef>
              <c:f>'Aging Analysis'!$B$4:$B$8</c:f>
              <c:numCache>
                <c:formatCode>General</c:formatCode>
                <c:ptCount val="4"/>
                <c:pt idx="0">
                  <c:v>142250000</c:v>
                </c:pt>
                <c:pt idx="1">
                  <c:v>21482000</c:v>
                </c:pt>
                <c:pt idx="2">
                  <c:v>21811000</c:v>
                </c:pt>
                <c:pt idx="3">
                  <c:v>15852000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C-4638-8B1E-75DBCC814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147376"/>
        <c:axId val="1847149456"/>
      </c:barChart>
      <c:catAx>
        <c:axId val="184714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7149456"/>
        <c:crosses val="autoZero"/>
        <c:auto val="1"/>
        <c:lblAlgn val="ctr"/>
        <c:lblOffset val="100"/>
        <c:noMultiLvlLbl val="0"/>
      </c:catAx>
      <c:valAx>
        <c:axId val="184714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714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[Accounts_Receivable_Aging_Analysis.xlsx]Pivot Customer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Outstanding</a:t>
            </a:r>
            <a:r>
              <a:rPr lang="id-ID" baseline="0"/>
              <a:t> by Customer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Customer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Customer Analysis'!$A$4:$A$22</c:f>
              <c:strCache>
                <c:ptCount val="18"/>
                <c:pt idx="0">
                  <c:v>CV Aneka Niaga</c:v>
                </c:pt>
                <c:pt idx="1">
                  <c:v>CV Berkah Sentosa</c:v>
                </c:pt>
                <c:pt idx="2">
                  <c:v>CV Harapan Baru</c:v>
                </c:pt>
                <c:pt idx="3">
                  <c:v>CV Makmur Jaya</c:v>
                </c:pt>
                <c:pt idx="4">
                  <c:v>CV Sejahtera</c:v>
                </c:pt>
                <c:pt idx="5">
                  <c:v>CV Sentosa Abadi</c:v>
                </c:pt>
                <c:pt idx="6">
                  <c:v>PT Artha Mandiri</c:v>
                </c:pt>
                <c:pt idx="7">
                  <c:v>PT Bintang Timur</c:v>
                </c:pt>
                <c:pt idx="8">
                  <c:v>PT Cahaya Nusantara</c:v>
                </c:pt>
                <c:pt idx="9">
                  <c:v>PT Cipta Mandiri</c:v>
                </c:pt>
                <c:pt idx="10">
                  <c:v>PT Global Niaga</c:v>
                </c:pt>
                <c:pt idx="11">
                  <c:v>PT Karya Utama</c:v>
                </c:pt>
                <c:pt idx="12">
                  <c:v>PT Maju Jaya</c:v>
                </c:pt>
                <c:pt idx="13">
                  <c:v>PT Mitra Usaha</c:v>
                </c:pt>
                <c:pt idx="14">
                  <c:v>PT Nusantara Abadi</c:v>
                </c:pt>
                <c:pt idx="15">
                  <c:v>PT Prima Jaya</c:v>
                </c:pt>
                <c:pt idx="16">
                  <c:v>PT Sinar Terang</c:v>
                </c:pt>
                <c:pt idx="17">
                  <c:v>PT Sukses Bersama</c:v>
                </c:pt>
              </c:strCache>
            </c:strRef>
          </c:cat>
          <c:val>
            <c:numRef>
              <c:f>'Pivot Customer Analysis'!$B$4:$B$22</c:f>
              <c:numCache>
                <c:formatCode>General</c:formatCode>
                <c:ptCount val="18"/>
                <c:pt idx="0">
                  <c:v>31000000</c:v>
                </c:pt>
                <c:pt idx="1">
                  <c:v>4347000</c:v>
                </c:pt>
                <c:pt idx="2">
                  <c:v>0</c:v>
                </c:pt>
                <c:pt idx="3">
                  <c:v>5568000</c:v>
                </c:pt>
                <c:pt idx="4">
                  <c:v>8218000</c:v>
                </c:pt>
                <c:pt idx="5">
                  <c:v>27623000</c:v>
                </c:pt>
                <c:pt idx="6">
                  <c:v>14685000</c:v>
                </c:pt>
                <c:pt idx="7">
                  <c:v>6750000</c:v>
                </c:pt>
                <c:pt idx="8">
                  <c:v>27362000</c:v>
                </c:pt>
                <c:pt idx="9">
                  <c:v>2535000</c:v>
                </c:pt>
                <c:pt idx="10">
                  <c:v>16098000</c:v>
                </c:pt>
                <c:pt idx="11">
                  <c:v>13783000</c:v>
                </c:pt>
                <c:pt idx="12">
                  <c:v>2215000</c:v>
                </c:pt>
                <c:pt idx="13">
                  <c:v>2849000</c:v>
                </c:pt>
                <c:pt idx="14">
                  <c:v>7239000</c:v>
                </c:pt>
                <c:pt idx="15">
                  <c:v>3431000</c:v>
                </c:pt>
                <c:pt idx="16">
                  <c:v>9192000</c:v>
                </c:pt>
                <c:pt idx="17">
                  <c:v>18500000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ACF-9429-8AE70DD33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5656992"/>
        <c:axId val="1845650336"/>
      </c:barChart>
      <c:catAx>
        <c:axId val="184565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5650336"/>
        <c:crosses val="autoZero"/>
        <c:auto val="1"/>
        <c:lblAlgn val="ctr"/>
        <c:lblOffset val="100"/>
        <c:noMultiLvlLbl val="0"/>
      </c:catAx>
      <c:valAx>
        <c:axId val="18456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4565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3</xdr:row>
      <xdr:rowOff>47624</xdr:rowOff>
    </xdr:from>
    <xdr:to>
      <xdr:col>9</xdr:col>
      <xdr:colOff>533400</xdr:colOff>
      <xdr:row>16</xdr:row>
      <xdr:rowOff>95249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47625</xdr:colOff>
      <xdr:row>2</xdr:row>
      <xdr:rowOff>180974</xdr:rowOff>
    </xdr:from>
    <xdr:to>
      <xdr:col>16</xdr:col>
      <xdr:colOff>590550</xdr:colOff>
      <xdr:row>15</xdr:row>
      <xdr:rowOff>95249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288.574181249998" createdVersion="6" refreshedVersion="6" minRefreshableVersion="3" recordCount="100">
  <cacheSource type="worksheet">
    <worksheetSource ref="A1:K101" sheet="AR Data"/>
  </cacheSource>
  <cacheFields count="11">
    <cacheField name="Invoice ID" numFmtId="0">
      <sharedItems/>
    </cacheField>
    <cacheField name="Customer" numFmtId="0">
      <sharedItems count="18">
        <s v="PT Sinar Terang"/>
        <s v="PT Cipta Mandiri"/>
        <s v="PT Artha Mandiri"/>
        <s v="PT Mitra Usaha"/>
        <s v="CV Sentosa Abadi"/>
        <s v="PT Prima Jaya"/>
        <s v="PT Nusantara Abadi"/>
        <s v="CV Makmur Jaya"/>
        <s v="PT Global Niaga"/>
        <s v="PT Cahaya Nusantara"/>
        <s v="PT Bintang Timur"/>
        <s v="CV Sejahtera"/>
        <s v="CV Harapan Baru"/>
        <s v="CV Aneka Niaga"/>
        <s v="PT Karya Utama"/>
        <s v="PT Sukses Bersama"/>
        <s v="CV Berkah Sentosa"/>
        <s v="PT Maju Jaya"/>
      </sharedItems>
    </cacheField>
    <cacheField name="Invoice Date" numFmtId="14">
      <sharedItems containsSemiMixedTypes="0" containsNonDate="0" containsDate="1" containsString="0" minDate="2025-01-01T00:00:00" maxDate="2025-12-28T00:00:00"/>
    </cacheField>
    <cacheField name="Due Date" numFmtId="14">
      <sharedItems containsSemiMixedTypes="0" containsNonDate="0" containsDate="1" containsString="0" minDate="2025-01-18T00:00:00" maxDate="2026-01-28T00:00:00"/>
    </cacheField>
    <cacheField name="Payment Date" numFmtId="14">
      <sharedItems containsNonDate="0" containsDate="1" containsString="0" containsBlank="1" minDate="2025-01-17T00:00:00" maxDate="2026-02-15T00:00:00"/>
    </cacheField>
    <cacheField name="Invoice Amount" numFmtId="164">
      <sharedItems containsSemiMixedTypes="0" containsString="0" containsNumber="1" containsInteger="1" minValue="1250000" maxValue="18500000"/>
    </cacheField>
    <cacheField name="Payment Amount" numFmtId="164">
      <sharedItems containsSemiMixedTypes="0" containsString="0" containsNumber="1" containsInteger="1" minValue="0" maxValue="18500000"/>
    </cacheField>
    <cacheField name="Outstanding" numFmtId="164">
      <sharedItems containsSemiMixedTypes="0" containsString="0" containsNumber="1" containsInteger="1" minValue="0" maxValue="18500000"/>
    </cacheField>
    <cacheField name="Days Overdue" numFmtId="0">
      <sharedItems containsSemiMixedTypes="0" containsString="0" containsNumber="1" containsInteger="1" minValue="0" maxValue="612"/>
    </cacheField>
    <cacheField name="Aging Category" numFmtId="0">
      <sharedItems count="4">
        <s v="1-30 Days"/>
        <s v="Current"/>
        <s v="31-60 Days"/>
        <s v="&gt;90 Days"/>
      </sharedItems>
    </cacheField>
    <cacheField name="Paymen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INV-001"/>
    <x v="0"/>
    <d v="2025-11-24T00:00:00"/>
    <d v="2025-12-08T00:00:00"/>
    <d v="2025-12-20T00:00:00"/>
    <n v="1250000"/>
    <n v="466000"/>
    <n v="784000"/>
    <n v="12"/>
    <x v="0"/>
    <s v="paid"/>
  </r>
  <r>
    <s v="INV-002"/>
    <x v="1"/>
    <d v="2025-12-13T00:00:00"/>
    <d v="2026-01-27T00:00:00"/>
    <d v="2026-02-02T00:00:00"/>
    <n v="1750000"/>
    <n v="465000"/>
    <n v="1285000"/>
    <n v="6"/>
    <x v="0"/>
    <s v="paid"/>
  </r>
  <r>
    <s v="INV-003"/>
    <x v="2"/>
    <d v="2025-04-30T00:00:00"/>
    <d v="2025-06-14T00:00:00"/>
    <d v="2025-06-16T00:00:00"/>
    <n v="12500000"/>
    <n v="12500000"/>
    <n v="0"/>
    <n v="2"/>
    <x v="0"/>
    <s v="paid"/>
  </r>
  <r>
    <s v="INV-004"/>
    <x v="3"/>
    <d v="2025-08-03T00:00:00"/>
    <d v="2025-08-24T00:00:00"/>
    <d v="2025-08-19T00:00:00"/>
    <n v="8250000"/>
    <n v="5401000"/>
    <n v="2849000"/>
    <n v="0"/>
    <x v="1"/>
    <s v="paid"/>
  </r>
  <r>
    <s v="INV-005"/>
    <x v="4"/>
    <d v="2025-12-24T00:00:00"/>
    <d v="2026-01-23T00:00:00"/>
    <d v="2026-01-26T00:00:00"/>
    <n v="5500000"/>
    <n v="5500000"/>
    <n v="0"/>
    <n v="3"/>
    <x v="0"/>
    <s v="paid"/>
  </r>
  <r>
    <s v="INV-006"/>
    <x v="5"/>
    <d v="2025-02-22T00:00:00"/>
    <d v="2025-03-08T00:00:00"/>
    <d v="2025-04-21T00:00:00"/>
    <n v="6750000"/>
    <n v="6750000"/>
    <n v="0"/>
    <n v="44"/>
    <x v="2"/>
    <s v="paid"/>
  </r>
  <r>
    <s v="INV-007"/>
    <x v="6"/>
    <d v="2025-11-06T00:00:00"/>
    <d v="2025-12-06T00:00:00"/>
    <d v="2026-01-18T00:00:00"/>
    <n v="1250000"/>
    <n v="648000"/>
    <n v="602000"/>
    <n v="43"/>
    <x v="2"/>
    <s v="paid"/>
  </r>
  <r>
    <s v="INV-008"/>
    <x v="6"/>
    <d v="2025-10-10T00:00:00"/>
    <d v="2025-11-09T00:00:00"/>
    <d v="2025-11-28T00:00:00"/>
    <n v="15000000"/>
    <n v="10213000"/>
    <n v="4787000"/>
    <n v="19"/>
    <x v="0"/>
    <s v="paid"/>
  </r>
  <r>
    <s v="INV-009"/>
    <x v="7"/>
    <d v="2025-01-24T00:00:00"/>
    <d v="2025-02-14T00:00:00"/>
    <m/>
    <n v="4500000"/>
    <n v="0"/>
    <n v="4500000"/>
    <n v="586"/>
    <x v="3"/>
    <s v="outstanding"/>
  </r>
  <r>
    <s v="INV-010"/>
    <x v="5"/>
    <d v="2025-02-21T00:00:00"/>
    <d v="2025-03-23T00:00:00"/>
    <d v="2025-05-05T00:00:00"/>
    <n v="4500000"/>
    <n v="4500000"/>
    <n v="0"/>
    <n v="43"/>
    <x v="2"/>
    <s v="paid"/>
  </r>
  <r>
    <s v="INV-011"/>
    <x v="6"/>
    <d v="2025-03-25T00:00:00"/>
    <d v="2025-04-24T00:00:00"/>
    <d v="2025-05-01T00:00:00"/>
    <n v="5500000"/>
    <n v="5500000"/>
    <n v="0"/>
    <n v="7"/>
    <x v="0"/>
    <s v="paid"/>
  </r>
  <r>
    <s v="INV-012"/>
    <x v="8"/>
    <d v="2025-11-08T00:00:00"/>
    <d v="2025-11-29T00:00:00"/>
    <d v="2026-01-11T00:00:00"/>
    <n v="10000000"/>
    <n v="3317000"/>
    <n v="6683000"/>
    <n v="43"/>
    <x v="2"/>
    <s v="paid"/>
  </r>
  <r>
    <s v="INV-013"/>
    <x v="7"/>
    <d v="2025-11-24T00:00:00"/>
    <d v="2026-01-08T00:00:00"/>
    <d v="2026-01-10T00:00:00"/>
    <n v="3250000"/>
    <n v="2182000"/>
    <n v="1068000"/>
    <n v="2"/>
    <x v="0"/>
    <s v="paid"/>
  </r>
  <r>
    <s v="INV-014"/>
    <x v="4"/>
    <d v="2025-01-17T00:00:00"/>
    <d v="2025-02-16T00:00:00"/>
    <d v="2025-02-19T00:00:00"/>
    <n v="6750000"/>
    <n v="6750000"/>
    <n v="0"/>
    <n v="3"/>
    <x v="0"/>
    <s v="paid"/>
  </r>
  <r>
    <s v="INV-015"/>
    <x v="9"/>
    <d v="2025-04-19T00:00:00"/>
    <d v="2025-05-19T00:00:00"/>
    <m/>
    <n v="6750000"/>
    <n v="0"/>
    <n v="6750000"/>
    <n v="492"/>
    <x v="3"/>
    <s v="outstanding"/>
  </r>
  <r>
    <s v="INV-016"/>
    <x v="2"/>
    <d v="2025-03-15T00:00:00"/>
    <d v="2025-04-14T00:00:00"/>
    <d v="2025-05-09T00:00:00"/>
    <n v="2500000"/>
    <n v="2500000"/>
    <n v="0"/>
    <n v="25"/>
    <x v="0"/>
    <s v="paid"/>
  </r>
  <r>
    <s v="INV-017"/>
    <x v="10"/>
    <d v="2025-05-15T00:00:00"/>
    <d v="2025-06-29T00:00:00"/>
    <m/>
    <n v="6750000"/>
    <n v="0"/>
    <n v="6750000"/>
    <n v="451"/>
    <x v="3"/>
    <s v="outstanding"/>
  </r>
  <r>
    <s v="INV-018"/>
    <x v="11"/>
    <d v="2025-07-05T00:00:00"/>
    <d v="2025-07-26T00:00:00"/>
    <d v="2025-07-21T00:00:00"/>
    <n v="2500000"/>
    <n v="2500000"/>
    <n v="0"/>
    <n v="0"/>
    <x v="1"/>
    <s v="paid"/>
  </r>
  <r>
    <s v="INV-019"/>
    <x v="12"/>
    <d v="2025-02-26T00:00:00"/>
    <d v="2025-03-19T00:00:00"/>
    <d v="2025-04-21T00:00:00"/>
    <n v="15000000"/>
    <n v="15000000"/>
    <n v="0"/>
    <n v="33"/>
    <x v="2"/>
    <s v="paid"/>
  </r>
  <r>
    <s v="INV-020"/>
    <x v="13"/>
    <d v="2025-11-02T00:00:00"/>
    <d v="2025-11-16T00:00:00"/>
    <d v="2025-12-05T00:00:00"/>
    <n v="6750000"/>
    <n v="6750000"/>
    <n v="0"/>
    <n v="19"/>
    <x v="0"/>
    <s v="paid"/>
  </r>
  <r>
    <s v="INV-021"/>
    <x v="4"/>
    <d v="2025-05-09T00:00:00"/>
    <d v="2025-06-23T00:00:00"/>
    <d v="2025-07-22T00:00:00"/>
    <n v="1250000"/>
    <n v="384000"/>
    <n v="866000"/>
    <n v="29"/>
    <x v="0"/>
    <s v="paid"/>
  </r>
  <r>
    <s v="INV-022"/>
    <x v="8"/>
    <d v="2025-02-27T00:00:00"/>
    <d v="2025-03-29T00:00:00"/>
    <d v="2025-03-19T00:00:00"/>
    <n v="6750000"/>
    <n v="6750000"/>
    <n v="0"/>
    <n v="0"/>
    <x v="1"/>
    <s v="paid"/>
  </r>
  <r>
    <s v="INV-023"/>
    <x v="14"/>
    <d v="2025-09-14T00:00:00"/>
    <d v="2025-10-05T00:00:00"/>
    <m/>
    <n v="10000000"/>
    <n v="0"/>
    <n v="10000000"/>
    <n v="353"/>
    <x v="3"/>
    <s v="outstanding"/>
  </r>
  <r>
    <s v="INV-024"/>
    <x v="3"/>
    <d v="2025-11-24T00:00:00"/>
    <d v="2026-01-08T00:00:00"/>
    <d v="2026-01-21T00:00:00"/>
    <n v="12500000"/>
    <n v="12500000"/>
    <n v="0"/>
    <n v="13"/>
    <x v="0"/>
    <s v="paid"/>
  </r>
  <r>
    <s v="INV-025"/>
    <x v="5"/>
    <d v="2025-10-04T00:00:00"/>
    <d v="2025-11-18T00:00:00"/>
    <d v="2025-11-27T00:00:00"/>
    <n v="1250000"/>
    <n v="618000"/>
    <n v="632000"/>
    <n v="9"/>
    <x v="0"/>
    <s v="paid"/>
  </r>
  <r>
    <s v="INV-026"/>
    <x v="6"/>
    <d v="2025-06-07T00:00:00"/>
    <d v="2025-06-28T00:00:00"/>
    <d v="2025-07-24T00:00:00"/>
    <n v="1250000"/>
    <n v="1250000"/>
    <n v="0"/>
    <n v="26"/>
    <x v="0"/>
    <s v="paid"/>
  </r>
  <r>
    <s v="INV-027"/>
    <x v="2"/>
    <d v="2025-02-13T00:00:00"/>
    <d v="2025-03-15T00:00:00"/>
    <m/>
    <n v="1750000"/>
    <n v="0"/>
    <n v="1750000"/>
    <n v="557"/>
    <x v="3"/>
    <s v="outstanding"/>
  </r>
  <r>
    <s v="INV-028"/>
    <x v="3"/>
    <d v="2025-03-06T00:00:00"/>
    <d v="2025-03-27T00:00:00"/>
    <d v="2025-04-21T00:00:00"/>
    <n v="15000000"/>
    <n v="15000000"/>
    <n v="0"/>
    <n v="25"/>
    <x v="0"/>
    <s v="paid"/>
  </r>
  <r>
    <s v="INV-029"/>
    <x v="2"/>
    <d v="2025-05-16T00:00:00"/>
    <d v="2025-06-30T00:00:00"/>
    <d v="2025-07-03T00:00:00"/>
    <n v="12500000"/>
    <n v="12500000"/>
    <n v="0"/>
    <n v="3"/>
    <x v="0"/>
    <s v="paid"/>
  </r>
  <r>
    <s v="INV-030"/>
    <x v="5"/>
    <d v="2025-12-20T00:00:00"/>
    <d v="2026-01-10T00:00:00"/>
    <d v="2026-02-11T00:00:00"/>
    <n v="18500000"/>
    <n v="18500000"/>
    <n v="0"/>
    <n v="32"/>
    <x v="2"/>
    <s v="paid"/>
  </r>
  <r>
    <s v="INV-031"/>
    <x v="6"/>
    <d v="2025-08-13T00:00:00"/>
    <d v="2025-09-27T00:00:00"/>
    <d v="2025-10-01T00:00:00"/>
    <n v="8250000"/>
    <n v="8250000"/>
    <n v="0"/>
    <n v="4"/>
    <x v="0"/>
    <s v="paid"/>
  </r>
  <r>
    <s v="INV-032"/>
    <x v="7"/>
    <d v="2025-06-23T00:00:00"/>
    <d v="2025-07-07T00:00:00"/>
    <d v="2025-08-03T00:00:00"/>
    <n v="12500000"/>
    <n v="12500000"/>
    <n v="0"/>
    <n v="27"/>
    <x v="0"/>
    <s v="paid"/>
  </r>
  <r>
    <s v="INV-033"/>
    <x v="4"/>
    <d v="2025-01-04T00:00:00"/>
    <d v="2025-01-18T00:00:00"/>
    <d v="2025-01-17T00:00:00"/>
    <n v="18500000"/>
    <n v="6743000"/>
    <n v="11757000"/>
    <n v="0"/>
    <x v="1"/>
    <s v="paid"/>
  </r>
  <r>
    <s v="INV-034"/>
    <x v="1"/>
    <d v="2025-02-06T00:00:00"/>
    <d v="2025-03-23T00:00:00"/>
    <d v="2025-04-13T00:00:00"/>
    <n v="3250000"/>
    <n v="3250000"/>
    <n v="0"/>
    <n v="21"/>
    <x v="0"/>
    <s v="paid"/>
  </r>
  <r>
    <s v="INV-035"/>
    <x v="15"/>
    <d v="2025-10-04T00:00:00"/>
    <d v="2025-10-25T00:00:00"/>
    <m/>
    <n v="18500000"/>
    <n v="0"/>
    <n v="18500000"/>
    <n v="333"/>
    <x v="3"/>
    <s v="outstanding"/>
  </r>
  <r>
    <s v="INV-036"/>
    <x v="12"/>
    <d v="2025-05-05T00:00:00"/>
    <d v="2025-06-04T00:00:00"/>
    <d v="2025-05-31T00:00:00"/>
    <n v="6750000"/>
    <n v="6750000"/>
    <n v="0"/>
    <n v="0"/>
    <x v="1"/>
    <s v="paid"/>
  </r>
  <r>
    <s v="INV-037"/>
    <x v="11"/>
    <d v="2025-07-01T00:00:00"/>
    <d v="2025-07-31T00:00:00"/>
    <d v="2025-09-05T00:00:00"/>
    <n v="6750000"/>
    <n v="6750000"/>
    <n v="0"/>
    <n v="36"/>
    <x v="2"/>
    <s v="paid"/>
  </r>
  <r>
    <s v="INV-038"/>
    <x v="0"/>
    <d v="2025-12-11T00:00:00"/>
    <d v="2025-12-25T00:00:00"/>
    <d v="2026-01-05T00:00:00"/>
    <n v="1250000"/>
    <n v="1250000"/>
    <n v="0"/>
    <n v="11"/>
    <x v="0"/>
    <s v="paid"/>
  </r>
  <r>
    <s v="INV-039"/>
    <x v="12"/>
    <d v="2025-05-08T00:00:00"/>
    <d v="2025-05-29T00:00:00"/>
    <d v="2025-05-27T00:00:00"/>
    <n v="3250000"/>
    <n v="3250000"/>
    <n v="0"/>
    <n v="0"/>
    <x v="1"/>
    <s v="paid"/>
  </r>
  <r>
    <s v="INV-040"/>
    <x v="9"/>
    <d v="2025-04-04T00:00:00"/>
    <d v="2025-05-04T00:00:00"/>
    <d v="2025-04-28T00:00:00"/>
    <n v="8250000"/>
    <n v="8250000"/>
    <n v="0"/>
    <n v="0"/>
    <x v="1"/>
    <s v="paid"/>
  </r>
  <r>
    <s v="INV-041"/>
    <x v="6"/>
    <d v="2025-10-09T00:00:00"/>
    <d v="2025-10-23T00:00:00"/>
    <d v="2025-10-19T00:00:00"/>
    <n v="1250000"/>
    <n v="650000"/>
    <n v="600000"/>
    <n v="0"/>
    <x v="1"/>
    <s v="paid"/>
  </r>
  <r>
    <s v="INV-042"/>
    <x v="10"/>
    <d v="2025-05-02T00:00:00"/>
    <d v="2025-05-23T00:00:00"/>
    <d v="2025-05-26T00:00:00"/>
    <n v="6750000"/>
    <n v="6750000"/>
    <n v="0"/>
    <n v="3"/>
    <x v="0"/>
    <s v="paid"/>
  </r>
  <r>
    <s v="INV-043"/>
    <x v="8"/>
    <d v="2025-01-31T00:00:00"/>
    <d v="2025-02-21T00:00:00"/>
    <d v="2025-03-07T00:00:00"/>
    <n v="6750000"/>
    <n v="6750000"/>
    <n v="0"/>
    <n v="14"/>
    <x v="0"/>
    <s v="paid"/>
  </r>
  <r>
    <s v="INV-044"/>
    <x v="16"/>
    <d v="2025-08-21T00:00:00"/>
    <d v="2025-09-20T00:00:00"/>
    <d v="2025-11-16T00:00:00"/>
    <n v="6750000"/>
    <n v="4153000"/>
    <n v="2597000"/>
    <n v="57"/>
    <x v="2"/>
    <s v="paid"/>
  </r>
  <r>
    <s v="INV-045"/>
    <x v="2"/>
    <d v="2025-04-08T00:00:00"/>
    <d v="2025-05-08T00:00:00"/>
    <m/>
    <n v="3250000"/>
    <n v="0"/>
    <n v="3250000"/>
    <n v="503"/>
    <x v="3"/>
    <s v="outstanding"/>
  </r>
  <r>
    <s v="INV-046"/>
    <x v="13"/>
    <d v="2025-02-01T00:00:00"/>
    <d v="2025-03-03T00:00:00"/>
    <d v="2025-03-23T00:00:00"/>
    <n v="1250000"/>
    <n v="1250000"/>
    <n v="0"/>
    <n v="20"/>
    <x v="0"/>
    <s v="paid"/>
  </r>
  <r>
    <s v="INV-047"/>
    <x v="6"/>
    <d v="2025-09-29T00:00:00"/>
    <d v="2025-10-20T00:00:00"/>
    <m/>
    <n v="1250000"/>
    <n v="0"/>
    <n v="1250000"/>
    <n v="338"/>
    <x v="3"/>
    <s v="outstanding"/>
  </r>
  <r>
    <s v="INV-048"/>
    <x v="7"/>
    <d v="2025-04-06T00:00:00"/>
    <d v="2025-04-20T00:00:00"/>
    <d v="2025-06-04T00:00:00"/>
    <n v="12500000"/>
    <n v="12500000"/>
    <n v="0"/>
    <n v="45"/>
    <x v="2"/>
    <s v="paid"/>
  </r>
  <r>
    <s v="INV-049"/>
    <x v="11"/>
    <d v="2025-07-26T00:00:00"/>
    <d v="2025-08-09T00:00:00"/>
    <d v="2025-09-06T00:00:00"/>
    <n v="12500000"/>
    <n v="12500000"/>
    <n v="0"/>
    <n v="28"/>
    <x v="0"/>
    <s v="paid"/>
  </r>
  <r>
    <s v="INV-050"/>
    <x v="8"/>
    <d v="2025-11-14T00:00:00"/>
    <d v="2025-11-28T00:00:00"/>
    <d v="2026-01-02T00:00:00"/>
    <n v="6750000"/>
    <n v="3595000"/>
    <n v="3155000"/>
    <n v="35"/>
    <x v="2"/>
    <s v="paid"/>
  </r>
  <r>
    <s v="INV-051"/>
    <x v="14"/>
    <d v="2025-04-15T00:00:00"/>
    <d v="2025-05-15T00:00:00"/>
    <d v="2025-05-13T00:00:00"/>
    <n v="3250000"/>
    <n v="3250000"/>
    <n v="0"/>
    <n v="0"/>
    <x v="1"/>
    <s v="paid"/>
  </r>
  <r>
    <s v="INV-052"/>
    <x v="0"/>
    <d v="2025-08-23T00:00:00"/>
    <d v="2025-09-22T00:00:00"/>
    <d v="2025-10-21T00:00:00"/>
    <n v="1750000"/>
    <n v="1750000"/>
    <n v="0"/>
    <n v="29"/>
    <x v="0"/>
    <s v="paid"/>
  </r>
  <r>
    <s v="INV-053"/>
    <x v="5"/>
    <d v="2025-02-07T00:00:00"/>
    <d v="2025-03-24T00:00:00"/>
    <d v="2025-03-22T00:00:00"/>
    <n v="3250000"/>
    <n v="3250000"/>
    <n v="0"/>
    <n v="0"/>
    <x v="1"/>
    <s v="paid"/>
  </r>
  <r>
    <s v="INV-054"/>
    <x v="2"/>
    <d v="2025-02-05T00:00:00"/>
    <d v="2025-02-26T00:00:00"/>
    <d v="2025-03-16T00:00:00"/>
    <n v="5500000"/>
    <n v="5500000"/>
    <n v="0"/>
    <n v="18"/>
    <x v="0"/>
    <s v="paid"/>
  </r>
  <r>
    <s v="INV-055"/>
    <x v="13"/>
    <d v="2025-12-27T00:00:00"/>
    <d v="2026-01-26T00:00:00"/>
    <m/>
    <n v="12500000"/>
    <n v="0"/>
    <n v="12500000"/>
    <n v="240"/>
    <x v="3"/>
    <s v="outstanding"/>
  </r>
  <r>
    <s v="INV-056"/>
    <x v="0"/>
    <d v="2025-01-05T00:00:00"/>
    <d v="2025-02-19T00:00:00"/>
    <m/>
    <n v="4500000"/>
    <n v="0"/>
    <n v="4500000"/>
    <n v="581"/>
    <x v="3"/>
    <s v="outstanding"/>
  </r>
  <r>
    <s v="INV-057"/>
    <x v="2"/>
    <d v="2025-03-10T00:00:00"/>
    <d v="2025-04-09T00:00:00"/>
    <m/>
    <n v="1750000"/>
    <n v="0"/>
    <n v="1750000"/>
    <n v="532"/>
    <x v="3"/>
    <s v="outstanding"/>
  </r>
  <r>
    <s v="INV-058"/>
    <x v="8"/>
    <d v="2025-03-21T00:00:00"/>
    <d v="2025-04-20T00:00:00"/>
    <d v="2025-05-11T00:00:00"/>
    <n v="4500000"/>
    <n v="2740000"/>
    <n v="1760000"/>
    <n v="21"/>
    <x v="0"/>
    <s v="paid"/>
  </r>
  <r>
    <s v="INV-059"/>
    <x v="11"/>
    <d v="2025-09-16T00:00:00"/>
    <d v="2025-10-16T00:00:00"/>
    <m/>
    <n v="4500000"/>
    <n v="0"/>
    <n v="4500000"/>
    <n v="342"/>
    <x v="3"/>
    <s v="outstanding"/>
  </r>
  <r>
    <s v="INV-060"/>
    <x v="16"/>
    <d v="2025-02-17T00:00:00"/>
    <d v="2025-03-19T00:00:00"/>
    <d v="2025-03-30T00:00:00"/>
    <n v="4500000"/>
    <n v="4500000"/>
    <n v="0"/>
    <n v="11"/>
    <x v="0"/>
    <s v="paid"/>
  </r>
  <r>
    <s v="INV-061"/>
    <x v="2"/>
    <d v="2025-11-23T00:00:00"/>
    <d v="2025-12-23T00:00:00"/>
    <d v="2026-02-10T00:00:00"/>
    <n v="2500000"/>
    <n v="1315000"/>
    <n v="1185000"/>
    <n v="49"/>
    <x v="2"/>
    <s v="paid"/>
  </r>
  <r>
    <s v="INV-062"/>
    <x v="16"/>
    <d v="2025-01-05T00:00:00"/>
    <d v="2025-01-19T00:00:00"/>
    <m/>
    <n v="1750000"/>
    <n v="0"/>
    <n v="1750000"/>
    <n v="612"/>
    <x v="3"/>
    <s v="outstanding"/>
  </r>
  <r>
    <s v="INV-063"/>
    <x v="11"/>
    <d v="2025-10-07T00:00:00"/>
    <d v="2025-10-21T00:00:00"/>
    <d v="2025-11-01T00:00:00"/>
    <n v="5500000"/>
    <n v="1782000"/>
    <n v="3718000"/>
    <n v="11"/>
    <x v="0"/>
    <s v="paid"/>
  </r>
  <r>
    <s v="INV-064"/>
    <x v="1"/>
    <d v="2025-06-07T00:00:00"/>
    <d v="2025-07-07T00:00:00"/>
    <m/>
    <n v="1250000"/>
    <n v="0"/>
    <n v="1250000"/>
    <n v="443"/>
    <x v="3"/>
    <s v="outstanding"/>
  </r>
  <r>
    <s v="INV-065"/>
    <x v="2"/>
    <d v="2025-12-16T00:00:00"/>
    <d v="2026-01-06T00:00:00"/>
    <d v="2026-02-14T00:00:00"/>
    <n v="15000000"/>
    <n v="15000000"/>
    <n v="0"/>
    <n v="39"/>
    <x v="2"/>
    <s v="paid"/>
  </r>
  <r>
    <s v="INV-066"/>
    <x v="3"/>
    <d v="2025-07-28T00:00:00"/>
    <d v="2025-09-11T00:00:00"/>
    <d v="2025-09-16T00:00:00"/>
    <n v="18500000"/>
    <n v="18500000"/>
    <n v="0"/>
    <n v="5"/>
    <x v="0"/>
    <s v="paid"/>
  </r>
  <r>
    <s v="INV-067"/>
    <x v="12"/>
    <d v="2025-04-01T00:00:00"/>
    <d v="2025-05-01T00:00:00"/>
    <d v="2025-05-12T00:00:00"/>
    <n v="1250000"/>
    <n v="1250000"/>
    <n v="0"/>
    <n v="11"/>
    <x v="0"/>
    <s v="paid"/>
  </r>
  <r>
    <s v="INV-068"/>
    <x v="0"/>
    <d v="2025-12-09T00:00:00"/>
    <d v="2025-12-30T00:00:00"/>
    <d v="2026-02-02T00:00:00"/>
    <n v="4500000"/>
    <n v="4500000"/>
    <n v="0"/>
    <n v="34"/>
    <x v="2"/>
    <s v="paid"/>
  </r>
  <r>
    <s v="INV-069"/>
    <x v="9"/>
    <d v="2025-07-15T00:00:00"/>
    <d v="2025-07-29T00:00:00"/>
    <d v="2025-09-09T00:00:00"/>
    <n v="8250000"/>
    <n v="8250000"/>
    <n v="0"/>
    <n v="42"/>
    <x v="2"/>
    <s v="paid"/>
  </r>
  <r>
    <s v="INV-070"/>
    <x v="1"/>
    <d v="2025-06-29T00:00:00"/>
    <d v="2025-07-29T00:00:00"/>
    <d v="2025-08-30T00:00:00"/>
    <n v="3250000"/>
    <n v="3250000"/>
    <n v="0"/>
    <n v="32"/>
    <x v="2"/>
    <s v="paid"/>
  </r>
  <r>
    <s v="INV-071"/>
    <x v="8"/>
    <d v="2025-07-24T00:00:00"/>
    <d v="2025-08-23T00:00:00"/>
    <m/>
    <n v="4500000"/>
    <n v="0"/>
    <n v="4500000"/>
    <n v="396"/>
    <x v="3"/>
    <s v="outstanding"/>
  </r>
  <r>
    <s v="INV-072"/>
    <x v="17"/>
    <d v="2025-06-29T00:00:00"/>
    <d v="2025-08-13T00:00:00"/>
    <d v="2025-09-19T00:00:00"/>
    <n v="6750000"/>
    <n v="4535000"/>
    <n v="2215000"/>
    <n v="37"/>
    <x v="2"/>
    <s v="paid"/>
  </r>
  <r>
    <s v="INV-073"/>
    <x v="0"/>
    <d v="2025-03-01T00:00:00"/>
    <d v="2025-03-31T00:00:00"/>
    <d v="2025-03-30T00:00:00"/>
    <n v="2500000"/>
    <n v="1854000"/>
    <n v="646000"/>
    <n v="0"/>
    <x v="1"/>
    <s v="paid"/>
  </r>
  <r>
    <s v="INV-074"/>
    <x v="0"/>
    <d v="2025-11-02T00:00:00"/>
    <d v="2025-12-02T00:00:00"/>
    <d v="2026-01-31T00:00:00"/>
    <n v="5500000"/>
    <n v="2238000"/>
    <n v="3262000"/>
    <n v="60"/>
    <x v="2"/>
    <s v="paid"/>
  </r>
  <r>
    <s v="INV-075"/>
    <x v="12"/>
    <d v="2025-07-17T00:00:00"/>
    <d v="2025-08-31T00:00:00"/>
    <d v="2025-10-05T00:00:00"/>
    <n v="3250000"/>
    <n v="3250000"/>
    <n v="0"/>
    <n v="35"/>
    <x v="2"/>
    <s v="paid"/>
  </r>
  <r>
    <s v="INV-076"/>
    <x v="5"/>
    <d v="2025-01-01T00:00:00"/>
    <d v="2025-02-15T00:00:00"/>
    <d v="2025-03-07T00:00:00"/>
    <n v="10000000"/>
    <n v="7201000"/>
    <n v="2799000"/>
    <n v="20"/>
    <x v="0"/>
    <s v="paid"/>
  </r>
  <r>
    <s v="INV-077"/>
    <x v="4"/>
    <d v="2025-08-09T00:00:00"/>
    <d v="2025-08-23T00:00:00"/>
    <m/>
    <n v="15000000"/>
    <n v="0"/>
    <n v="15000000"/>
    <n v="396"/>
    <x v="3"/>
    <s v="outstanding"/>
  </r>
  <r>
    <s v="INV-078"/>
    <x v="13"/>
    <d v="2025-12-06T00:00:00"/>
    <d v="2025-12-20T00:00:00"/>
    <m/>
    <n v="18500000"/>
    <n v="0"/>
    <n v="18500000"/>
    <n v="277"/>
    <x v="3"/>
    <s v="outstanding"/>
  </r>
  <r>
    <s v="INV-079"/>
    <x v="2"/>
    <d v="2025-06-08T00:00:00"/>
    <d v="2025-07-08T00:00:00"/>
    <d v="2025-07-16T00:00:00"/>
    <n v="5500000"/>
    <n v="5500000"/>
    <n v="0"/>
    <n v="8"/>
    <x v="0"/>
    <s v="paid"/>
  </r>
  <r>
    <s v="INV-080"/>
    <x v="14"/>
    <d v="2025-03-07T00:00:00"/>
    <d v="2025-03-28T00:00:00"/>
    <d v="2025-04-14T00:00:00"/>
    <n v="6750000"/>
    <n v="2967000"/>
    <n v="3783000"/>
    <n v="17"/>
    <x v="0"/>
    <s v="paid"/>
  </r>
  <r>
    <s v="INV-081"/>
    <x v="12"/>
    <d v="2025-07-27T00:00:00"/>
    <d v="2025-09-10T00:00:00"/>
    <d v="2025-09-13T00:00:00"/>
    <n v="1250000"/>
    <n v="1250000"/>
    <n v="0"/>
    <n v="3"/>
    <x v="0"/>
    <s v="paid"/>
  </r>
  <r>
    <s v="INV-082"/>
    <x v="9"/>
    <d v="2025-10-24T00:00:00"/>
    <d v="2025-12-08T00:00:00"/>
    <d v="2025-12-26T00:00:00"/>
    <n v="15000000"/>
    <n v="15000000"/>
    <n v="0"/>
    <n v="18"/>
    <x v="0"/>
    <s v="paid"/>
  </r>
  <r>
    <s v="INV-083"/>
    <x v="3"/>
    <d v="2025-12-12T00:00:00"/>
    <d v="2026-01-02T00:00:00"/>
    <d v="2026-02-11T00:00:00"/>
    <n v="10000000"/>
    <n v="10000000"/>
    <n v="0"/>
    <n v="40"/>
    <x v="2"/>
    <s v="paid"/>
  </r>
  <r>
    <s v="INV-084"/>
    <x v="4"/>
    <d v="2025-12-04T00:00:00"/>
    <d v="2025-12-18T00:00:00"/>
    <d v="2026-01-17T00:00:00"/>
    <n v="4500000"/>
    <n v="4500000"/>
    <n v="0"/>
    <n v="30"/>
    <x v="0"/>
    <s v="paid"/>
  </r>
  <r>
    <s v="INV-085"/>
    <x v="1"/>
    <d v="2025-02-17T00:00:00"/>
    <d v="2025-03-10T00:00:00"/>
    <d v="2025-04-20T00:00:00"/>
    <n v="15000000"/>
    <n v="15000000"/>
    <n v="0"/>
    <n v="41"/>
    <x v="2"/>
    <s v="paid"/>
  </r>
  <r>
    <s v="INV-086"/>
    <x v="6"/>
    <d v="2025-03-17T00:00:00"/>
    <d v="2025-03-31T00:00:00"/>
    <d v="2025-04-20T00:00:00"/>
    <n v="1250000"/>
    <n v="1250000"/>
    <n v="0"/>
    <n v="20"/>
    <x v="0"/>
    <s v="paid"/>
  </r>
  <r>
    <s v="INV-087"/>
    <x v="10"/>
    <d v="2025-08-22T00:00:00"/>
    <d v="2025-09-21T00:00:00"/>
    <d v="2025-10-26T00:00:00"/>
    <n v="15000000"/>
    <n v="15000000"/>
    <n v="0"/>
    <n v="35"/>
    <x v="2"/>
    <s v="paid"/>
  </r>
  <r>
    <s v="INV-088"/>
    <x v="17"/>
    <d v="2025-09-11T00:00:00"/>
    <d v="2025-10-11T00:00:00"/>
    <d v="2025-11-14T00:00:00"/>
    <n v="3250000"/>
    <n v="3250000"/>
    <n v="0"/>
    <n v="34"/>
    <x v="2"/>
    <s v="paid"/>
  </r>
  <r>
    <s v="INV-089"/>
    <x v="13"/>
    <d v="2025-02-24T00:00:00"/>
    <d v="2025-03-26T00:00:00"/>
    <d v="2025-04-29T00:00:00"/>
    <n v="3250000"/>
    <n v="3250000"/>
    <n v="0"/>
    <n v="34"/>
    <x v="2"/>
    <s v="paid"/>
  </r>
  <r>
    <s v="INV-090"/>
    <x v="0"/>
    <d v="2025-08-26T00:00:00"/>
    <d v="2025-09-09T00:00:00"/>
    <d v="2025-10-23T00:00:00"/>
    <n v="10000000"/>
    <n v="10000000"/>
    <n v="0"/>
    <n v="44"/>
    <x v="2"/>
    <s v="paid"/>
  </r>
  <r>
    <s v="INV-091"/>
    <x v="9"/>
    <d v="2025-08-22T00:00:00"/>
    <d v="2025-09-12T00:00:00"/>
    <d v="2025-10-17T00:00:00"/>
    <n v="8250000"/>
    <n v="6138000"/>
    <n v="2112000"/>
    <n v="35"/>
    <x v="2"/>
    <s v="paid"/>
  </r>
  <r>
    <s v="INV-092"/>
    <x v="2"/>
    <d v="2025-11-10T00:00:00"/>
    <d v="2025-12-25T00:00:00"/>
    <m/>
    <n v="6750000"/>
    <n v="0"/>
    <n v="6750000"/>
    <n v="272"/>
    <x v="3"/>
    <s v="outstanding"/>
  </r>
  <r>
    <s v="INV-093"/>
    <x v="9"/>
    <d v="2025-08-17T00:00:00"/>
    <d v="2025-09-07T00:00:00"/>
    <m/>
    <n v="18500000"/>
    <n v="0"/>
    <n v="18500000"/>
    <n v="381"/>
    <x v="3"/>
    <s v="outstanding"/>
  </r>
  <r>
    <s v="INV-094"/>
    <x v="13"/>
    <d v="2025-05-13T00:00:00"/>
    <d v="2025-06-03T00:00:00"/>
    <d v="2025-07-12T00:00:00"/>
    <n v="15000000"/>
    <n v="15000000"/>
    <n v="0"/>
    <n v="39"/>
    <x v="2"/>
    <s v="paid"/>
  </r>
  <r>
    <s v="INV-095"/>
    <x v="14"/>
    <d v="2025-09-06T00:00:00"/>
    <d v="2025-09-27T00:00:00"/>
    <d v="2025-11-01T00:00:00"/>
    <n v="4500000"/>
    <n v="4500000"/>
    <n v="0"/>
    <n v="35"/>
    <x v="2"/>
    <s v="paid"/>
  </r>
  <r>
    <s v="INV-096"/>
    <x v="6"/>
    <d v="2025-05-01T00:00:00"/>
    <d v="2025-05-31T00:00:00"/>
    <d v="2025-06-24T00:00:00"/>
    <n v="5500000"/>
    <n v="5500000"/>
    <n v="0"/>
    <n v="24"/>
    <x v="0"/>
    <s v="paid"/>
  </r>
  <r>
    <s v="INV-097"/>
    <x v="1"/>
    <d v="2025-03-12T00:00:00"/>
    <d v="2025-04-02T00:00:00"/>
    <d v="2025-04-01T00:00:00"/>
    <n v="3250000"/>
    <n v="3250000"/>
    <n v="0"/>
    <n v="0"/>
    <x v="1"/>
    <s v="paid"/>
  </r>
  <r>
    <s v="INV-098"/>
    <x v="12"/>
    <d v="2025-02-02T00:00:00"/>
    <d v="2025-03-04T00:00:00"/>
    <d v="2025-03-23T00:00:00"/>
    <n v="6750000"/>
    <n v="6750000"/>
    <n v="0"/>
    <n v="19"/>
    <x v="0"/>
    <s v="paid"/>
  </r>
  <r>
    <s v="INV-099"/>
    <x v="17"/>
    <d v="2025-02-01T00:00:00"/>
    <d v="2025-02-22T00:00:00"/>
    <d v="2025-04-02T00:00:00"/>
    <n v="6750000"/>
    <n v="6750000"/>
    <n v="0"/>
    <n v="39"/>
    <x v="2"/>
    <s v="paid"/>
  </r>
  <r>
    <s v="INV-100"/>
    <x v="14"/>
    <d v="2025-10-22T00:00:00"/>
    <d v="2025-11-21T00:00:00"/>
    <d v="2025-12-03T00:00:00"/>
    <n v="8250000"/>
    <n v="8250000"/>
    <n v="0"/>
    <n v="12"/>
    <x v="0"/>
    <s v="pa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22" firstHeaderRow="1" firstDataRow="1" firstDataCol="1"/>
  <pivotFields count="11">
    <pivotField showAll="0"/>
    <pivotField axis="axisRow" showAll="0">
      <items count="19">
        <item x="13"/>
        <item x="16"/>
        <item x="12"/>
        <item x="7"/>
        <item x="11"/>
        <item x="4"/>
        <item x="2"/>
        <item x="10"/>
        <item x="9"/>
        <item x="1"/>
        <item x="8"/>
        <item x="14"/>
        <item x="17"/>
        <item x="3"/>
        <item x="6"/>
        <item x="5"/>
        <item x="0"/>
        <item x="15"/>
        <item t="default"/>
      </items>
    </pivotField>
    <pivotField numFmtId="14" showAll="0"/>
    <pivotField numFmtId="14" showAll="0"/>
    <pivotField showAll="0"/>
    <pivotField numFmtId="164" showAll="0"/>
    <pivotField numFmtId="164" showAll="0"/>
    <pivotField dataField="1" numFmtId="164" showAll="0"/>
    <pivotField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Outstanding" fld="7" baseField="0" baseItem="0"/>
  </dataField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11">
    <pivotField showAll="0"/>
    <pivotField showAll="0"/>
    <pivotField numFmtId="14" showAll="0"/>
    <pivotField numFmtId="14" showAll="0"/>
    <pivotField showAll="0"/>
    <pivotField numFmtId="164" showAll="0"/>
    <pivotField numFmtId="164" showAll="0"/>
    <pivotField dataField="1" numFmtId="164"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utstanding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opLeftCell="A81" workbookViewId="0">
      <selection activeCell="L128" sqref="L128:L130"/>
    </sheetView>
  </sheetViews>
  <sheetFormatPr defaultRowHeight="15" x14ac:dyDescent="0.25"/>
  <cols>
    <col min="1" max="1" width="9.140625" style="10"/>
    <col min="2" max="2" width="19.28515625" style="10" customWidth="1"/>
    <col min="3" max="3" width="12.28515625" style="11" customWidth="1"/>
    <col min="4" max="4" width="12" style="11" customWidth="1"/>
    <col min="5" max="5" width="14.85546875" style="11" customWidth="1"/>
    <col min="6" max="6" width="15" style="12" customWidth="1"/>
    <col min="7" max="7" width="16.85546875" style="12" customWidth="1"/>
    <col min="8" max="8" width="12.5703125" style="10" customWidth="1"/>
    <col min="9" max="9" width="14.42578125" style="10" customWidth="1"/>
    <col min="10" max="10" width="15.28515625" style="10" customWidth="1"/>
    <col min="11" max="11" width="16" style="10" customWidth="1"/>
  </cols>
  <sheetData>
    <row r="1" spans="1:11" x14ac:dyDescent="0.25">
      <c r="A1" s="1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5" t="s">
        <v>11</v>
      </c>
      <c r="B2" s="5" t="s">
        <v>12</v>
      </c>
      <c r="C2" s="6">
        <v>45985</v>
      </c>
      <c r="D2" s="6">
        <v>45999</v>
      </c>
      <c r="E2" s="6">
        <v>46011</v>
      </c>
      <c r="F2" s="7">
        <v>1250000</v>
      </c>
      <c r="G2" s="7">
        <v>466000</v>
      </c>
      <c r="H2" s="7">
        <f>F2-G2</f>
        <v>784000</v>
      </c>
      <c r="I2" s="5">
        <f ca="1">IF(E2&lt;&gt;"",MAX(0,E2-D2),MAX(0,TODAY()-D2))</f>
        <v>12</v>
      </c>
      <c r="J2" s="5" t="str">
        <f ca="1">IF(I2=0,"Current",IF(I2&lt;=30,"1-30 Days",IF(I2&lt;=60,"31-60 Days",IF(I2&lt;=90,"61-90 Days","&gt;90 Days"))))</f>
        <v>1-30 Days</v>
      </c>
      <c r="K2" s="5" t="str">
        <f>IF(G2&gt;0,"paid","outstanding")</f>
        <v>paid</v>
      </c>
    </row>
    <row r="3" spans="1:11" x14ac:dyDescent="0.25">
      <c r="A3" s="5" t="s">
        <v>13</v>
      </c>
      <c r="B3" s="5" t="s">
        <v>14</v>
      </c>
      <c r="C3" s="6">
        <v>46004</v>
      </c>
      <c r="D3" s="6">
        <v>46049</v>
      </c>
      <c r="E3" s="6">
        <v>46055</v>
      </c>
      <c r="F3" s="7">
        <v>1750000</v>
      </c>
      <c r="G3" s="7">
        <v>465000</v>
      </c>
      <c r="H3" s="7">
        <f t="shared" ref="H3:H66" si="0">F3-G3</f>
        <v>1285000</v>
      </c>
      <c r="I3" s="5">
        <f t="shared" ref="I3:I66" ca="1" si="1">IF(E3&lt;&gt;"",MAX(0,E3-D3),MAX(0,TODAY()-D3))</f>
        <v>6</v>
      </c>
      <c r="J3" s="5" t="str">
        <f t="shared" ref="J3:J66" ca="1" si="2">IF(I3=0,"Current",IF(I3&lt;=30,"1-30 Days",IF(I3&lt;=60,"31-60 Days",IF(I3&lt;=90,"61-90 Days","&gt;90 Days"))))</f>
        <v>1-30 Days</v>
      </c>
      <c r="K3" s="5" t="str">
        <f t="shared" ref="K3:K66" si="3">IF(G3&gt;0,"paid","outstanding")</f>
        <v>paid</v>
      </c>
    </row>
    <row r="4" spans="1:11" x14ac:dyDescent="0.25">
      <c r="A4" s="5" t="s">
        <v>15</v>
      </c>
      <c r="B4" s="5" t="s">
        <v>16</v>
      </c>
      <c r="C4" s="6">
        <v>45777</v>
      </c>
      <c r="D4" s="6">
        <v>45822</v>
      </c>
      <c r="E4" s="6">
        <v>45824</v>
      </c>
      <c r="F4" s="7">
        <v>12500000</v>
      </c>
      <c r="G4" s="7">
        <v>12500000</v>
      </c>
      <c r="H4" s="7">
        <f t="shared" si="0"/>
        <v>0</v>
      </c>
      <c r="I4" s="5">
        <f t="shared" ca="1" si="1"/>
        <v>2</v>
      </c>
      <c r="J4" s="5" t="str">
        <f t="shared" ca="1" si="2"/>
        <v>1-30 Days</v>
      </c>
      <c r="K4" s="5" t="str">
        <f t="shared" si="3"/>
        <v>paid</v>
      </c>
    </row>
    <row r="5" spans="1:11" x14ac:dyDescent="0.25">
      <c r="A5" s="5" t="s">
        <v>17</v>
      </c>
      <c r="B5" s="5" t="s">
        <v>18</v>
      </c>
      <c r="C5" s="6">
        <v>45872</v>
      </c>
      <c r="D5" s="6">
        <v>45893</v>
      </c>
      <c r="E5" s="6">
        <v>45888</v>
      </c>
      <c r="F5" s="7">
        <v>8250000</v>
      </c>
      <c r="G5" s="7">
        <v>5401000</v>
      </c>
      <c r="H5" s="7">
        <f t="shared" si="0"/>
        <v>2849000</v>
      </c>
      <c r="I5" s="5">
        <f t="shared" ca="1" si="1"/>
        <v>0</v>
      </c>
      <c r="J5" s="5" t="str">
        <f t="shared" ca="1" si="2"/>
        <v>Current</v>
      </c>
      <c r="K5" s="5" t="str">
        <f t="shared" si="3"/>
        <v>paid</v>
      </c>
    </row>
    <row r="6" spans="1:11" x14ac:dyDescent="0.25">
      <c r="A6" s="5" t="s">
        <v>19</v>
      </c>
      <c r="B6" s="5" t="s">
        <v>20</v>
      </c>
      <c r="C6" s="6">
        <v>46015</v>
      </c>
      <c r="D6" s="6">
        <v>46045</v>
      </c>
      <c r="E6" s="6">
        <v>46048</v>
      </c>
      <c r="F6" s="7">
        <v>5500000</v>
      </c>
      <c r="G6" s="7">
        <v>5500000</v>
      </c>
      <c r="H6" s="7">
        <f t="shared" si="0"/>
        <v>0</v>
      </c>
      <c r="I6" s="5">
        <f t="shared" ca="1" si="1"/>
        <v>3</v>
      </c>
      <c r="J6" s="5" t="str">
        <f t="shared" ca="1" si="2"/>
        <v>1-30 Days</v>
      </c>
      <c r="K6" s="5" t="str">
        <f t="shared" si="3"/>
        <v>paid</v>
      </c>
    </row>
    <row r="7" spans="1:11" x14ac:dyDescent="0.25">
      <c r="A7" s="5" t="s">
        <v>21</v>
      </c>
      <c r="B7" s="5" t="s">
        <v>22</v>
      </c>
      <c r="C7" s="6">
        <v>45710</v>
      </c>
      <c r="D7" s="6">
        <v>45724</v>
      </c>
      <c r="E7" s="6">
        <v>45768</v>
      </c>
      <c r="F7" s="7">
        <v>6750000</v>
      </c>
      <c r="G7" s="7">
        <v>6750000</v>
      </c>
      <c r="H7" s="7">
        <f t="shared" si="0"/>
        <v>0</v>
      </c>
      <c r="I7" s="5">
        <f t="shared" ca="1" si="1"/>
        <v>44</v>
      </c>
      <c r="J7" s="5" t="str">
        <f t="shared" ca="1" si="2"/>
        <v>31-60 Days</v>
      </c>
      <c r="K7" s="5" t="str">
        <f t="shared" si="3"/>
        <v>paid</v>
      </c>
    </row>
    <row r="8" spans="1:11" x14ac:dyDescent="0.25">
      <c r="A8" s="5" t="s">
        <v>23</v>
      </c>
      <c r="B8" s="5" t="s">
        <v>24</v>
      </c>
      <c r="C8" s="6">
        <v>45967</v>
      </c>
      <c r="D8" s="6">
        <v>45997</v>
      </c>
      <c r="E8" s="6">
        <v>46040</v>
      </c>
      <c r="F8" s="7">
        <v>1250000</v>
      </c>
      <c r="G8" s="7">
        <v>648000</v>
      </c>
      <c r="H8" s="7">
        <f t="shared" si="0"/>
        <v>602000</v>
      </c>
      <c r="I8" s="5">
        <f t="shared" ca="1" si="1"/>
        <v>43</v>
      </c>
      <c r="J8" s="5" t="str">
        <f t="shared" ca="1" si="2"/>
        <v>31-60 Days</v>
      </c>
      <c r="K8" s="5" t="str">
        <f t="shared" si="3"/>
        <v>paid</v>
      </c>
    </row>
    <row r="9" spans="1:11" x14ac:dyDescent="0.25">
      <c r="A9" s="5" t="s">
        <v>25</v>
      </c>
      <c r="B9" s="5" t="s">
        <v>24</v>
      </c>
      <c r="C9" s="6">
        <v>45940</v>
      </c>
      <c r="D9" s="6">
        <v>45970</v>
      </c>
      <c r="E9" s="6">
        <v>45989</v>
      </c>
      <c r="F9" s="7">
        <v>15000000</v>
      </c>
      <c r="G9" s="7">
        <v>10213000</v>
      </c>
      <c r="H9" s="7">
        <f t="shared" si="0"/>
        <v>4787000</v>
      </c>
      <c r="I9" s="5">
        <f t="shared" ca="1" si="1"/>
        <v>19</v>
      </c>
      <c r="J9" s="5" t="str">
        <f t="shared" ca="1" si="2"/>
        <v>1-30 Days</v>
      </c>
      <c r="K9" s="5" t="str">
        <f t="shared" si="3"/>
        <v>paid</v>
      </c>
    </row>
    <row r="10" spans="1:11" x14ac:dyDescent="0.25">
      <c r="A10" s="5" t="s">
        <v>26</v>
      </c>
      <c r="B10" s="5" t="s">
        <v>27</v>
      </c>
      <c r="C10" s="6">
        <v>45681</v>
      </c>
      <c r="D10" s="6">
        <v>45702</v>
      </c>
      <c r="E10" s="6"/>
      <c r="F10" s="7">
        <v>4500000</v>
      </c>
      <c r="G10" s="7">
        <v>0</v>
      </c>
      <c r="H10" s="7">
        <f t="shared" si="0"/>
        <v>4500000</v>
      </c>
      <c r="I10" s="5">
        <f t="shared" ca="1" si="1"/>
        <v>586</v>
      </c>
      <c r="J10" s="5" t="str">
        <f t="shared" ca="1" si="2"/>
        <v>&gt;90 Days</v>
      </c>
      <c r="K10" s="5" t="str">
        <f t="shared" si="3"/>
        <v>outstanding</v>
      </c>
    </row>
    <row r="11" spans="1:11" x14ac:dyDescent="0.25">
      <c r="A11" s="5" t="s">
        <v>28</v>
      </c>
      <c r="B11" s="5" t="s">
        <v>22</v>
      </c>
      <c r="C11" s="6">
        <v>45709</v>
      </c>
      <c r="D11" s="6">
        <v>45739</v>
      </c>
      <c r="E11" s="6">
        <v>45782</v>
      </c>
      <c r="F11" s="7">
        <v>4500000</v>
      </c>
      <c r="G11" s="7">
        <v>4500000</v>
      </c>
      <c r="H11" s="7">
        <f t="shared" si="0"/>
        <v>0</v>
      </c>
      <c r="I11" s="5">
        <f t="shared" ca="1" si="1"/>
        <v>43</v>
      </c>
      <c r="J11" s="5" t="str">
        <f t="shared" ca="1" si="2"/>
        <v>31-60 Days</v>
      </c>
      <c r="K11" s="5" t="str">
        <f t="shared" si="3"/>
        <v>paid</v>
      </c>
    </row>
    <row r="12" spans="1:11" x14ac:dyDescent="0.25">
      <c r="A12" s="5" t="s">
        <v>29</v>
      </c>
      <c r="B12" s="5" t="s">
        <v>24</v>
      </c>
      <c r="C12" s="6">
        <v>45741</v>
      </c>
      <c r="D12" s="6">
        <v>45771</v>
      </c>
      <c r="E12" s="6">
        <v>45778</v>
      </c>
      <c r="F12" s="7">
        <v>5500000</v>
      </c>
      <c r="G12" s="7">
        <v>5500000</v>
      </c>
      <c r="H12" s="7">
        <f t="shared" si="0"/>
        <v>0</v>
      </c>
      <c r="I12" s="5">
        <f t="shared" ca="1" si="1"/>
        <v>7</v>
      </c>
      <c r="J12" s="5" t="str">
        <f t="shared" ca="1" si="2"/>
        <v>1-30 Days</v>
      </c>
      <c r="K12" s="5" t="str">
        <f t="shared" si="3"/>
        <v>paid</v>
      </c>
    </row>
    <row r="13" spans="1:11" x14ac:dyDescent="0.25">
      <c r="A13" s="5" t="s">
        <v>30</v>
      </c>
      <c r="B13" s="5" t="s">
        <v>31</v>
      </c>
      <c r="C13" s="6">
        <v>45969</v>
      </c>
      <c r="D13" s="6">
        <v>45990</v>
      </c>
      <c r="E13" s="6">
        <v>46033</v>
      </c>
      <c r="F13" s="7">
        <v>10000000</v>
      </c>
      <c r="G13" s="7">
        <v>3317000</v>
      </c>
      <c r="H13" s="7">
        <f t="shared" si="0"/>
        <v>6683000</v>
      </c>
      <c r="I13" s="5">
        <f t="shared" ca="1" si="1"/>
        <v>43</v>
      </c>
      <c r="J13" s="5" t="str">
        <f t="shared" ca="1" si="2"/>
        <v>31-60 Days</v>
      </c>
      <c r="K13" s="5" t="str">
        <f t="shared" si="3"/>
        <v>paid</v>
      </c>
    </row>
    <row r="14" spans="1:11" x14ac:dyDescent="0.25">
      <c r="A14" s="5" t="s">
        <v>32</v>
      </c>
      <c r="B14" s="5" t="s">
        <v>27</v>
      </c>
      <c r="C14" s="6">
        <v>45985</v>
      </c>
      <c r="D14" s="6">
        <v>46030</v>
      </c>
      <c r="E14" s="6">
        <v>46032</v>
      </c>
      <c r="F14" s="7">
        <v>3250000</v>
      </c>
      <c r="G14" s="7">
        <v>2182000</v>
      </c>
      <c r="H14" s="7">
        <f t="shared" si="0"/>
        <v>1068000</v>
      </c>
      <c r="I14" s="5">
        <f t="shared" ca="1" si="1"/>
        <v>2</v>
      </c>
      <c r="J14" s="5" t="str">
        <f t="shared" ca="1" si="2"/>
        <v>1-30 Days</v>
      </c>
      <c r="K14" s="5" t="str">
        <f t="shared" si="3"/>
        <v>paid</v>
      </c>
    </row>
    <row r="15" spans="1:11" x14ac:dyDescent="0.25">
      <c r="A15" s="5" t="s">
        <v>33</v>
      </c>
      <c r="B15" s="5" t="s">
        <v>20</v>
      </c>
      <c r="C15" s="6">
        <v>45674</v>
      </c>
      <c r="D15" s="6">
        <v>45704</v>
      </c>
      <c r="E15" s="6">
        <v>45707</v>
      </c>
      <c r="F15" s="7">
        <v>6750000</v>
      </c>
      <c r="G15" s="7">
        <v>6750000</v>
      </c>
      <c r="H15" s="7">
        <f t="shared" si="0"/>
        <v>0</v>
      </c>
      <c r="I15" s="5">
        <f t="shared" ca="1" si="1"/>
        <v>3</v>
      </c>
      <c r="J15" s="5" t="str">
        <f t="shared" ca="1" si="2"/>
        <v>1-30 Days</v>
      </c>
      <c r="K15" s="5" t="str">
        <f t="shared" si="3"/>
        <v>paid</v>
      </c>
    </row>
    <row r="16" spans="1:11" x14ac:dyDescent="0.25">
      <c r="A16" s="5" t="s">
        <v>34</v>
      </c>
      <c r="B16" s="5" t="s">
        <v>35</v>
      </c>
      <c r="C16" s="6">
        <v>45766</v>
      </c>
      <c r="D16" s="6">
        <v>45796</v>
      </c>
      <c r="E16" s="6"/>
      <c r="F16" s="7">
        <v>6750000</v>
      </c>
      <c r="G16" s="7">
        <v>0</v>
      </c>
      <c r="H16" s="7">
        <f t="shared" si="0"/>
        <v>6750000</v>
      </c>
      <c r="I16" s="5">
        <f t="shared" ca="1" si="1"/>
        <v>492</v>
      </c>
      <c r="J16" s="5" t="str">
        <f t="shared" ca="1" si="2"/>
        <v>&gt;90 Days</v>
      </c>
      <c r="K16" s="5" t="str">
        <f t="shared" si="3"/>
        <v>outstanding</v>
      </c>
    </row>
    <row r="17" spans="1:11" x14ac:dyDescent="0.25">
      <c r="A17" s="5" t="s">
        <v>36</v>
      </c>
      <c r="B17" s="5" t="s">
        <v>16</v>
      </c>
      <c r="C17" s="6">
        <v>45731</v>
      </c>
      <c r="D17" s="6">
        <v>45761</v>
      </c>
      <c r="E17" s="6">
        <v>45786</v>
      </c>
      <c r="F17" s="7">
        <v>2500000</v>
      </c>
      <c r="G17" s="7">
        <v>2500000</v>
      </c>
      <c r="H17" s="7">
        <f t="shared" si="0"/>
        <v>0</v>
      </c>
      <c r="I17" s="5">
        <f t="shared" ca="1" si="1"/>
        <v>25</v>
      </c>
      <c r="J17" s="5" t="str">
        <f t="shared" ca="1" si="2"/>
        <v>1-30 Days</v>
      </c>
      <c r="K17" s="5" t="str">
        <f t="shared" si="3"/>
        <v>paid</v>
      </c>
    </row>
    <row r="18" spans="1:11" x14ac:dyDescent="0.25">
      <c r="A18" s="5" t="s">
        <v>37</v>
      </c>
      <c r="B18" s="5" t="s">
        <v>38</v>
      </c>
      <c r="C18" s="6">
        <v>45792</v>
      </c>
      <c r="D18" s="6">
        <v>45837</v>
      </c>
      <c r="E18" s="6"/>
      <c r="F18" s="7">
        <v>6750000</v>
      </c>
      <c r="G18" s="7">
        <v>0</v>
      </c>
      <c r="H18" s="7">
        <f t="shared" si="0"/>
        <v>6750000</v>
      </c>
      <c r="I18" s="5">
        <f t="shared" ca="1" si="1"/>
        <v>451</v>
      </c>
      <c r="J18" s="5" t="str">
        <f t="shared" ca="1" si="2"/>
        <v>&gt;90 Days</v>
      </c>
      <c r="K18" s="5" t="str">
        <f t="shared" si="3"/>
        <v>outstanding</v>
      </c>
    </row>
    <row r="19" spans="1:11" x14ac:dyDescent="0.25">
      <c r="A19" s="5" t="s">
        <v>39</v>
      </c>
      <c r="B19" s="5" t="s">
        <v>40</v>
      </c>
      <c r="C19" s="6">
        <v>45843</v>
      </c>
      <c r="D19" s="6">
        <v>45864</v>
      </c>
      <c r="E19" s="6">
        <v>45859</v>
      </c>
      <c r="F19" s="7">
        <v>2500000</v>
      </c>
      <c r="G19" s="7">
        <v>2500000</v>
      </c>
      <c r="H19" s="7">
        <f t="shared" si="0"/>
        <v>0</v>
      </c>
      <c r="I19" s="5">
        <f t="shared" ca="1" si="1"/>
        <v>0</v>
      </c>
      <c r="J19" s="5" t="str">
        <f t="shared" ca="1" si="2"/>
        <v>Current</v>
      </c>
      <c r="K19" s="5" t="str">
        <f t="shared" si="3"/>
        <v>paid</v>
      </c>
    </row>
    <row r="20" spans="1:11" x14ac:dyDescent="0.25">
      <c r="A20" s="5" t="s">
        <v>41</v>
      </c>
      <c r="B20" s="5" t="s">
        <v>42</v>
      </c>
      <c r="C20" s="6">
        <v>45714</v>
      </c>
      <c r="D20" s="6">
        <v>45735</v>
      </c>
      <c r="E20" s="6">
        <v>45768</v>
      </c>
      <c r="F20" s="7">
        <v>15000000</v>
      </c>
      <c r="G20" s="7">
        <v>15000000</v>
      </c>
      <c r="H20" s="7">
        <f t="shared" si="0"/>
        <v>0</v>
      </c>
      <c r="I20" s="5">
        <f t="shared" ca="1" si="1"/>
        <v>33</v>
      </c>
      <c r="J20" s="5" t="str">
        <f t="shared" ca="1" si="2"/>
        <v>31-60 Days</v>
      </c>
      <c r="K20" s="5" t="str">
        <f t="shared" si="3"/>
        <v>paid</v>
      </c>
    </row>
    <row r="21" spans="1:11" x14ac:dyDescent="0.25">
      <c r="A21" s="5" t="s">
        <v>43</v>
      </c>
      <c r="B21" s="5" t="s">
        <v>44</v>
      </c>
      <c r="C21" s="6">
        <v>45963</v>
      </c>
      <c r="D21" s="6">
        <v>45977</v>
      </c>
      <c r="E21" s="6">
        <v>45996</v>
      </c>
      <c r="F21" s="7">
        <v>6750000</v>
      </c>
      <c r="G21" s="7">
        <v>6750000</v>
      </c>
      <c r="H21" s="7">
        <f t="shared" si="0"/>
        <v>0</v>
      </c>
      <c r="I21" s="5">
        <f t="shared" ca="1" si="1"/>
        <v>19</v>
      </c>
      <c r="J21" s="5" t="str">
        <f t="shared" ca="1" si="2"/>
        <v>1-30 Days</v>
      </c>
      <c r="K21" s="5" t="str">
        <f t="shared" si="3"/>
        <v>paid</v>
      </c>
    </row>
    <row r="22" spans="1:11" x14ac:dyDescent="0.25">
      <c r="A22" s="5" t="s">
        <v>45</v>
      </c>
      <c r="B22" s="5" t="s">
        <v>20</v>
      </c>
      <c r="C22" s="6">
        <v>45786</v>
      </c>
      <c r="D22" s="6">
        <v>45831</v>
      </c>
      <c r="E22" s="6">
        <v>45860</v>
      </c>
      <c r="F22" s="7">
        <v>1250000</v>
      </c>
      <c r="G22" s="7">
        <v>384000</v>
      </c>
      <c r="H22" s="7">
        <f t="shared" si="0"/>
        <v>866000</v>
      </c>
      <c r="I22" s="5">
        <f t="shared" ca="1" si="1"/>
        <v>29</v>
      </c>
      <c r="J22" s="5" t="str">
        <f t="shared" ca="1" si="2"/>
        <v>1-30 Days</v>
      </c>
      <c r="K22" s="5" t="str">
        <f t="shared" si="3"/>
        <v>paid</v>
      </c>
    </row>
    <row r="23" spans="1:11" x14ac:dyDescent="0.25">
      <c r="A23" s="5" t="s">
        <v>46</v>
      </c>
      <c r="B23" s="5" t="s">
        <v>31</v>
      </c>
      <c r="C23" s="6">
        <v>45715</v>
      </c>
      <c r="D23" s="6">
        <v>45745</v>
      </c>
      <c r="E23" s="6">
        <v>45735</v>
      </c>
      <c r="F23" s="7">
        <v>6750000</v>
      </c>
      <c r="G23" s="7">
        <v>6750000</v>
      </c>
      <c r="H23" s="7">
        <f t="shared" si="0"/>
        <v>0</v>
      </c>
      <c r="I23" s="5">
        <f t="shared" ca="1" si="1"/>
        <v>0</v>
      </c>
      <c r="J23" s="5" t="str">
        <f t="shared" ca="1" si="2"/>
        <v>Current</v>
      </c>
      <c r="K23" s="5" t="str">
        <f t="shared" si="3"/>
        <v>paid</v>
      </c>
    </row>
    <row r="24" spans="1:11" x14ac:dyDescent="0.25">
      <c r="A24" s="5" t="s">
        <v>47</v>
      </c>
      <c r="B24" s="5" t="s">
        <v>48</v>
      </c>
      <c r="C24" s="6">
        <v>45914</v>
      </c>
      <c r="D24" s="6">
        <v>45935</v>
      </c>
      <c r="E24" s="6"/>
      <c r="F24" s="7">
        <v>10000000</v>
      </c>
      <c r="G24" s="7">
        <v>0</v>
      </c>
      <c r="H24" s="7">
        <f t="shared" si="0"/>
        <v>10000000</v>
      </c>
      <c r="I24" s="5">
        <f t="shared" ca="1" si="1"/>
        <v>353</v>
      </c>
      <c r="J24" s="5" t="str">
        <f t="shared" ca="1" si="2"/>
        <v>&gt;90 Days</v>
      </c>
      <c r="K24" s="5" t="str">
        <f t="shared" si="3"/>
        <v>outstanding</v>
      </c>
    </row>
    <row r="25" spans="1:11" x14ac:dyDescent="0.25">
      <c r="A25" s="5" t="s">
        <v>49</v>
      </c>
      <c r="B25" s="5" t="s">
        <v>18</v>
      </c>
      <c r="C25" s="6">
        <v>45985</v>
      </c>
      <c r="D25" s="6">
        <v>46030</v>
      </c>
      <c r="E25" s="6">
        <v>46043</v>
      </c>
      <c r="F25" s="7">
        <v>12500000</v>
      </c>
      <c r="G25" s="7">
        <v>12500000</v>
      </c>
      <c r="H25" s="7">
        <f t="shared" si="0"/>
        <v>0</v>
      </c>
      <c r="I25" s="5">
        <f t="shared" ca="1" si="1"/>
        <v>13</v>
      </c>
      <c r="J25" s="5" t="str">
        <f t="shared" ca="1" si="2"/>
        <v>1-30 Days</v>
      </c>
      <c r="K25" s="5" t="str">
        <f t="shared" si="3"/>
        <v>paid</v>
      </c>
    </row>
    <row r="26" spans="1:11" x14ac:dyDescent="0.25">
      <c r="A26" s="5" t="s">
        <v>50</v>
      </c>
      <c r="B26" s="5" t="s">
        <v>22</v>
      </c>
      <c r="C26" s="6">
        <v>45934</v>
      </c>
      <c r="D26" s="6">
        <v>45979</v>
      </c>
      <c r="E26" s="6">
        <v>45988</v>
      </c>
      <c r="F26" s="7">
        <v>1250000</v>
      </c>
      <c r="G26" s="7">
        <v>618000</v>
      </c>
      <c r="H26" s="7">
        <f t="shared" si="0"/>
        <v>632000</v>
      </c>
      <c r="I26" s="5">
        <f t="shared" ca="1" si="1"/>
        <v>9</v>
      </c>
      <c r="J26" s="5" t="str">
        <f t="shared" ca="1" si="2"/>
        <v>1-30 Days</v>
      </c>
      <c r="K26" s="5" t="str">
        <f t="shared" si="3"/>
        <v>paid</v>
      </c>
    </row>
    <row r="27" spans="1:11" x14ac:dyDescent="0.25">
      <c r="A27" s="5" t="s">
        <v>51</v>
      </c>
      <c r="B27" s="5" t="s">
        <v>24</v>
      </c>
      <c r="C27" s="6">
        <v>45815</v>
      </c>
      <c r="D27" s="6">
        <v>45836</v>
      </c>
      <c r="E27" s="6">
        <v>45862</v>
      </c>
      <c r="F27" s="7">
        <v>1250000</v>
      </c>
      <c r="G27" s="7">
        <v>1250000</v>
      </c>
      <c r="H27" s="7">
        <f t="shared" si="0"/>
        <v>0</v>
      </c>
      <c r="I27" s="5">
        <f t="shared" ca="1" si="1"/>
        <v>26</v>
      </c>
      <c r="J27" s="5" t="str">
        <f t="shared" ca="1" si="2"/>
        <v>1-30 Days</v>
      </c>
      <c r="K27" s="5" t="str">
        <f t="shared" si="3"/>
        <v>paid</v>
      </c>
    </row>
    <row r="28" spans="1:11" x14ac:dyDescent="0.25">
      <c r="A28" s="5" t="s">
        <v>52</v>
      </c>
      <c r="B28" s="5" t="s">
        <v>16</v>
      </c>
      <c r="C28" s="6">
        <v>45701</v>
      </c>
      <c r="D28" s="6">
        <v>45731</v>
      </c>
      <c r="E28" s="6"/>
      <c r="F28" s="7">
        <v>1750000</v>
      </c>
      <c r="G28" s="7">
        <v>0</v>
      </c>
      <c r="H28" s="7">
        <f t="shared" si="0"/>
        <v>1750000</v>
      </c>
      <c r="I28" s="5">
        <f t="shared" ca="1" si="1"/>
        <v>557</v>
      </c>
      <c r="J28" s="5" t="str">
        <f t="shared" ca="1" si="2"/>
        <v>&gt;90 Days</v>
      </c>
      <c r="K28" s="5" t="str">
        <f t="shared" si="3"/>
        <v>outstanding</v>
      </c>
    </row>
    <row r="29" spans="1:11" x14ac:dyDescent="0.25">
      <c r="A29" s="5" t="s">
        <v>53</v>
      </c>
      <c r="B29" s="5" t="s">
        <v>18</v>
      </c>
      <c r="C29" s="6">
        <v>45722</v>
      </c>
      <c r="D29" s="6">
        <v>45743</v>
      </c>
      <c r="E29" s="6">
        <v>45768</v>
      </c>
      <c r="F29" s="7">
        <v>15000000</v>
      </c>
      <c r="G29" s="7">
        <v>15000000</v>
      </c>
      <c r="H29" s="7">
        <f t="shared" si="0"/>
        <v>0</v>
      </c>
      <c r="I29" s="5">
        <f t="shared" ca="1" si="1"/>
        <v>25</v>
      </c>
      <c r="J29" s="5" t="str">
        <f t="shared" ca="1" si="2"/>
        <v>1-30 Days</v>
      </c>
      <c r="K29" s="5" t="str">
        <f t="shared" si="3"/>
        <v>paid</v>
      </c>
    </row>
    <row r="30" spans="1:11" x14ac:dyDescent="0.25">
      <c r="A30" s="5" t="s">
        <v>54</v>
      </c>
      <c r="B30" s="5" t="s">
        <v>16</v>
      </c>
      <c r="C30" s="6">
        <v>45793</v>
      </c>
      <c r="D30" s="6">
        <v>45838</v>
      </c>
      <c r="E30" s="6">
        <v>45841</v>
      </c>
      <c r="F30" s="7">
        <v>12500000</v>
      </c>
      <c r="G30" s="7">
        <v>12500000</v>
      </c>
      <c r="H30" s="7">
        <f t="shared" si="0"/>
        <v>0</v>
      </c>
      <c r="I30" s="5">
        <f t="shared" ca="1" si="1"/>
        <v>3</v>
      </c>
      <c r="J30" s="5" t="str">
        <f t="shared" ca="1" si="2"/>
        <v>1-30 Days</v>
      </c>
      <c r="K30" s="5" t="str">
        <f t="shared" si="3"/>
        <v>paid</v>
      </c>
    </row>
    <row r="31" spans="1:11" x14ac:dyDescent="0.25">
      <c r="A31" s="5" t="s">
        <v>55</v>
      </c>
      <c r="B31" s="5" t="s">
        <v>22</v>
      </c>
      <c r="C31" s="6">
        <v>46011</v>
      </c>
      <c r="D31" s="6">
        <v>46032</v>
      </c>
      <c r="E31" s="6">
        <v>46064</v>
      </c>
      <c r="F31" s="7">
        <v>18500000</v>
      </c>
      <c r="G31" s="7">
        <v>18500000</v>
      </c>
      <c r="H31" s="7">
        <f t="shared" si="0"/>
        <v>0</v>
      </c>
      <c r="I31" s="5">
        <f t="shared" ca="1" si="1"/>
        <v>32</v>
      </c>
      <c r="J31" s="5" t="str">
        <f t="shared" ca="1" si="2"/>
        <v>31-60 Days</v>
      </c>
      <c r="K31" s="5" t="str">
        <f t="shared" si="3"/>
        <v>paid</v>
      </c>
    </row>
    <row r="32" spans="1:11" x14ac:dyDescent="0.25">
      <c r="A32" s="5" t="s">
        <v>56</v>
      </c>
      <c r="B32" s="5" t="s">
        <v>24</v>
      </c>
      <c r="C32" s="6">
        <v>45882</v>
      </c>
      <c r="D32" s="6">
        <v>45927</v>
      </c>
      <c r="E32" s="6">
        <v>45931</v>
      </c>
      <c r="F32" s="7">
        <v>8250000</v>
      </c>
      <c r="G32" s="7">
        <v>8250000</v>
      </c>
      <c r="H32" s="7">
        <f t="shared" si="0"/>
        <v>0</v>
      </c>
      <c r="I32" s="5">
        <f t="shared" ca="1" si="1"/>
        <v>4</v>
      </c>
      <c r="J32" s="5" t="str">
        <f t="shared" ca="1" si="2"/>
        <v>1-30 Days</v>
      </c>
      <c r="K32" s="5" t="str">
        <f t="shared" si="3"/>
        <v>paid</v>
      </c>
    </row>
    <row r="33" spans="1:11" x14ac:dyDescent="0.25">
      <c r="A33" s="5" t="s">
        <v>57</v>
      </c>
      <c r="B33" s="5" t="s">
        <v>27</v>
      </c>
      <c r="C33" s="6">
        <v>45831</v>
      </c>
      <c r="D33" s="6">
        <v>45845</v>
      </c>
      <c r="E33" s="6">
        <v>45872</v>
      </c>
      <c r="F33" s="7">
        <v>12500000</v>
      </c>
      <c r="G33" s="7">
        <v>12500000</v>
      </c>
      <c r="H33" s="7">
        <f t="shared" si="0"/>
        <v>0</v>
      </c>
      <c r="I33" s="5">
        <f t="shared" ca="1" si="1"/>
        <v>27</v>
      </c>
      <c r="J33" s="5" t="str">
        <f t="shared" ca="1" si="2"/>
        <v>1-30 Days</v>
      </c>
      <c r="K33" s="5" t="str">
        <f t="shared" si="3"/>
        <v>paid</v>
      </c>
    </row>
    <row r="34" spans="1:11" x14ac:dyDescent="0.25">
      <c r="A34" s="5" t="s">
        <v>58</v>
      </c>
      <c r="B34" s="5" t="s">
        <v>20</v>
      </c>
      <c r="C34" s="6">
        <v>45661</v>
      </c>
      <c r="D34" s="6">
        <v>45675</v>
      </c>
      <c r="E34" s="6">
        <v>45674</v>
      </c>
      <c r="F34" s="7">
        <v>18500000</v>
      </c>
      <c r="G34" s="7">
        <v>6743000</v>
      </c>
      <c r="H34" s="7">
        <f t="shared" si="0"/>
        <v>11757000</v>
      </c>
      <c r="I34" s="5">
        <f t="shared" ca="1" si="1"/>
        <v>0</v>
      </c>
      <c r="J34" s="5" t="str">
        <f t="shared" ca="1" si="2"/>
        <v>Current</v>
      </c>
      <c r="K34" s="5" t="str">
        <f t="shared" si="3"/>
        <v>paid</v>
      </c>
    </row>
    <row r="35" spans="1:11" x14ac:dyDescent="0.25">
      <c r="A35" s="5" t="s">
        <v>59</v>
      </c>
      <c r="B35" s="5" t="s">
        <v>14</v>
      </c>
      <c r="C35" s="6">
        <v>45694</v>
      </c>
      <c r="D35" s="6">
        <v>45739</v>
      </c>
      <c r="E35" s="6">
        <v>45760</v>
      </c>
      <c r="F35" s="7">
        <v>3250000</v>
      </c>
      <c r="G35" s="7">
        <v>3250000</v>
      </c>
      <c r="H35" s="7">
        <f t="shared" si="0"/>
        <v>0</v>
      </c>
      <c r="I35" s="5">
        <f t="shared" ca="1" si="1"/>
        <v>21</v>
      </c>
      <c r="J35" s="5" t="str">
        <f t="shared" ca="1" si="2"/>
        <v>1-30 Days</v>
      </c>
      <c r="K35" s="5" t="str">
        <f t="shared" si="3"/>
        <v>paid</v>
      </c>
    </row>
    <row r="36" spans="1:11" x14ac:dyDescent="0.25">
      <c r="A36" s="5" t="s">
        <v>60</v>
      </c>
      <c r="B36" s="5" t="s">
        <v>61</v>
      </c>
      <c r="C36" s="6">
        <v>45934</v>
      </c>
      <c r="D36" s="6">
        <v>45955</v>
      </c>
      <c r="E36" s="6"/>
      <c r="F36" s="7">
        <v>18500000</v>
      </c>
      <c r="G36" s="7">
        <v>0</v>
      </c>
      <c r="H36" s="7">
        <f t="shared" si="0"/>
        <v>18500000</v>
      </c>
      <c r="I36" s="5">
        <f t="shared" ca="1" si="1"/>
        <v>333</v>
      </c>
      <c r="J36" s="5" t="str">
        <f t="shared" ca="1" si="2"/>
        <v>&gt;90 Days</v>
      </c>
      <c r="K36" s="5" t="str">
        <f t="shared" si="3"/>
        <v>outstanding</v>
      </c>
    </row>
    <row r="37" spans="1:11" x14ac:dyDescent="0.25">
      <c r="A37" s="5" t="s">
        <v>62</v>
      </c>
      <c r="B37" s="5" t="s">
        <v>42</v>
      </c>
      <c r="C37" s="6">
        <v>45782</v>
      </c>
      <c r="D37" s="6">
        <v>45812</v>
      </c>
      <c r="E37" s="6">
        <v>45808</v>
      </c>
      <c r="F37" s="7">
        <v>6750000</v>
      </c>
      <c r="G37" s="7">
        <v>6750000</v>
      </c>
      <c r="H37" s="7">
        <f t="shared" si="0"/>
        <v>0</v>
      </c>
      <c r="I37" s="5">
        <f t="shared" ca="1" si="1"/>
        <v>0</v>
      </c>
      <c r="J37" s="5" t="str">
        <f t="shared" ca="1" si="2"/>
        <v>Current</v>
      </c>
      <c r="K37" s="5" t="str">
        <f t="shared" si="3"/>
        <v>paid</v>
      </c>
    </row>
    <row r="38" spans="1:11" x14ac:dyDescent="0.25">
      <c r="A38" s="5" t="s">
        <v>63</v>
      </c>
      <c r="B38" s="5" t="s">
        <v>40</v>
      </c>
      <c r="C38" s="6">
        <v>45839</v>
      </c>
      <c r="D38" s="6">
        <v>45869</v>
      </c>
      <c r="E38" s="6">
        <v>45905</v>
      </c>
      <c r="F38" s="7">
        <v>6750000</v>
      </c>
      <c r="G38" s="7">
        <v>6750000</v>
      </c>
      <c r="H38" s="7">
        <f t="shared" si="0"/>
        <v>0</v>
      </c>
      <c r="I38" s="5">
        <f t="shared" ca="1" si="1"/>
        <v>36</v>
      </c>
      <c r="J38" s="5" t="str">
        <f t="shared" ca="1" si="2"/>
        <v>31-60 Days</v>
      </c>
      <c r="K38" s="5" t="str">
        <f t="shared" si="3"/>
        <v>paid</v>
      </c>
    </row>
    <row r="39" spans="1:11" x14ac:dyDescent="0.25">
      <c r="A39" s="5" t="s">
        <v>64</v>
      </c>
      <c r="B39" s="5" t="s">
        <v>12</v>
      </c>
      <c r="C39" s="6">
        <v>46002</v>
      </c>
      <c r="D39" s="6">
        <v>46016</v>
      </c>
      <c r="E39" s="6">
        <v>46027</v>
      </c>
      <c r="F39" s="7">
        <v>1250000</v>
      </c>
      <c r="G39" s="7">
        <v>1250000</v>
      </c>
      <c r="H39" s="7">
        <f t="shared" si="0"/>
        <v>0</v>
      </c>
      <c r="I39" s="5">
        <f t="shared" ca="1" si="1"/>
        <v>11</v>
      </c>
      <c r="J39" s="5" t="str">
        <f t="shared" ca="1" si="2"/>
        <v>1-30 Days</v>
      </c>
      <c r="K39" s="5" t="str">
        <f t="shared" si="3"/>
        <v>paid</v>
      </c>
    </row>
    <row r="40" spans="1:11" x14ac:dyDescent="0.25">
      <c r="A40" s="5" t="s">
        <v>65</v>
      </c>
      <c r="B40" s="5" t="s">
        <v>42</v>
      </c>
      <c r="C40" s="6">
        <v>45785</v>
      </c>
      <c r="D40" s="6">
        <v>45806</v>
      </c>
      <c r="E40" s="6">
        <v>45804</v>
      </c>
      <c r="F40" s="7">
        <v>3250000</v>
      </c>
      <c r="G40" s="7">
        <v>3250000</v>
      </c>
      <c r="H40" s="7">
        <f t="shared" si="0"/>
        <v>0</v>
      </c>
      <c r="I40" s="5">
        <f t="shared" ca="1" si="1"/>
        <v>0</v>
      </c>
      <c r="J40" s="5" t="str">
        <f t="shared" ca="1" si="2"/>
        <v>Current</v>
      </c>
      <c r="K40" s="5" t="str">
        <f t="shared" si="3"/>
        <v>paid</v>
      </c>
    </row>
    <row r="41" spans="1:11" x14ac:dyDescent="0.25">
      <c r="A41" s="5" t="s">
        <v>66</v>
      </c>
      <c r="B41" s="5" t="s">
        <v>35</v>
      </c>
      <c r="C41" s="6">
        <v>45751</v>
      </c>
      <c r="D41" s="6">
        <v>45781</v>
      </c>
      <c r="E41" s="6">
        <v>45775</v>
      </c>
      <c r="F41" s="7">
        <v>8250000</v>
      </c>
      <c r="G41" s="7">
        <v>8250000</v>
      </c>
      <c r="H41" s="7">
        <f t="shared" si="0"/>
        <v>0</v>
      </c>
      <c r="I41" s="5">
        <f t="shared" ca="1" si="1"/>
        <v>0</v>
      </c>
      <c r="J41" s="5" t="str">
        <f t="shared" ca="1" si="2"/>
        <v>Current</v>
      </c>
      <c r="K41" s="5" t="str">
        <f t="shared" si="3"/>
        <v>paid</v>
      </c>
    </row>
    <row r="42" spans="1:11" x14ac:dyDescent="0.25">
      <c r="A42" s="5" t="s">
        <v>67</v>
      </c>
      <c r="B42" s="5" t="s">
        <v>24</v>
      </c>
      <c r="C42" s="6">
        <v>45939</v>
      </c>
      <c r="D42" s="6">
        <v>45953</v>
      </c>
      <c r="E42" s="6">
        <v>45949</v>
      </c>
      <c r="F42" s="7">
        <v>1250000</v>
      </c>
      <c r="G42" s="7">
        <v>650000</v>
      </c>
      <c r="H42" s="7">
        <f t="shared" si="0"/>
        <v>600000</v>
      </c>
      <c r="I42" s="5">
        <f t="shared" ca="1" si="1"/>
        <v>0</v>
      </c>
      <c r="J42" s="5" t="str">
        <f t="shared" ca="1" si="2"/>
        <v>Current</v>
      </c>
      <c r="K42" s="5" t="str">
        <f t="shared" si="3"/>
        <v>paid</v>
      </c>
    </row>
    <row r="43" spans="1:11" x14ac:dyDescent="0.25">
      <c r="A43" s="5" t="s">
        <v>68</v>
      </c>
      <c r="B43" s="5" t="s">
        <v>38</v>
      </c>
      <c r="C43" s="6">
        <v>45779</v>
      </c>
      <c r="D43" s="6">
        <v>45800</v>
      </c>
      <c r="E43" s="6">
        <v>45803</v>
      </c>
      <c r="F43" s="7">
        <v>6750000</v>
      </c>
      <c r="G43" s="7">
        <v>6750000</v>
      </c>
      <c r="H43" s="7">
        <f t="shared" si="0"/>
        <v>0</v>
      </c>
      <c r="I43" s="5">
        <f t="shared" ca="1" si="1"/>
        <v>3</v>
      </c>
      <c r="J43" s="5" t="str">
        <f t="shared" ca="1" si="2"/>
        <v>1-30 Days</v>
      </c>
      <c r="K43" s="5" t="str">
        <f t="shared" si="3"/>
        <v>paid</v>
      </c>
    </row>
    <row r="44" spans="1:11" x14ac:dyDescent="0.25">
      <c r="A44" s="5" t="s">
        <v>69</v>
      </c>
      <c r="B44" s="5" t="s">
        <v>31</v>
      </c>
      <c r="C44" s="6">
        <v>45688</v>
      </c>
      <c r="D44" s="6">
        <v>45709</v>
      </c>
      <c r="E44" s="6">
        <v>45723</v>
      </c>
      <c r="F44" s="7">
        <v>6750000</v>
      </c>
      <c r="G44" s="7">
        <v>6750000</v>
      </c>
      <c r="H44" s="7">
        <f t="shared" si="0"/>
        <v>0</v>
      </c>
      <c r="I44" s="5">
        <f t="shared" ca="1" si="1"/>
        <v>14</v>
      </c>
      <c r="J44" s="5" t="str">
        <f t="shared" ca="1" si="2"/>
        <v>1-30 Days</v>
      </c>
      <c r="K44" s="5" t="str">
        <f t="shared" si="3"/>
        <v>paid</v>
      </c>
    </row>
    <row r="45" spans="1:11" x14ac:dyDescent="0.25">
      <c r="A45" s="5" t="s">
        <v>70</v>
      </c>
      <c r="B45" s="5" t="s">
        <v>71</v>
      </c>
      <c r="C45" s="6">
        <v>45890</v>
      </c>
      <c r="D45" s="6">
        <v>45920</v>
      </c>
      <c r="E45" s="6">
        <v>45977</v>
      </c>
      <c r="F45" s="7">
        <v>6750000</v>
      </c>
      <c r="G45" s="7">
        <v>4153000</v>
      </c>
      <c r="H45" s="7">
        <f t="shared" si="0"/>
        <v>2597000</v>
      </c>
      <c r="I45" s="5">
        <f t="shared" ca="1" si="1"/>
        <v>57</v>
      </c>
      <c r="J45" s="5" t="str">
        <f t="shared" ca="1" si="2"/>
        <v>31-60 Days</v>
      </c>
      <c r="K45" s="5" t="str">
        <f t="shared" si="3"/>
        <v>paid</v>
      </c>
    </row>
    <row r="46" spans="1:11" x14ac:dyDescent="0.25">
      <c r="A46" s="5" t="s">
        <v>72</v>
      </c>
      <c r="B46" s="5" t="s">
        <v>16</v>
      </c>
      <c r="C46" s="6">
        <v>45755</v>
      </c>
      <c r="D46" s="6">
        <v>45785</v>
      </c>
      <c r="E46" s="6"/>
      <c r="F46" s="7">
        <v>3250000</v>
      </c>
      <c r="G46" s="7">
        <v>0</v>
      </c>
      <c r="H46" s="7">
        <f t="shared" si="0"/>
        <v>3250000</v>
      </c>
      <c r="I46" s="5">
        <f t="shared" ca="1" si="1"/>
        <v>503</v>
      </c>
      <c r="J46" s="5" t="str">
        <f t="shared" ca="1" si="2"/>
        <v>&gt;90 Days</v>
      </c>
      <c r="K46" s="5" t="str">
        <f t="shared" si="3"/>
        <v>outstanding</v>
      </c>
    </row>
    <row r="47" spans="1:11" x14ac:dyDescent="0.25">
      <c r="A47" s="5" t="s">
        <v>73</v>
      </c>
      <c r="B47" s="5" t="s">
        <v>44</v>
      </c>
      <c r="C47" s="6">
        <v>45689</v>
      </c>
      <c r="D47" s="6">
        <v>45719</v>
      </c>
      <c r="E47" s="6">
        <v>45739</v>
      </c>
      <c r="F47" s="7">
        <v>1250000</v>
      </c>
      <c r="G47" s="7">
        <v>1250000</v>
      </c>
      <c r="H47" s="7">
        <f t="shared" si="0"/>
        <v>0</v>
      </c>
      <c r="I47" s="5">
        <f t="shared" ca="1" si="1"/>
        <v>20</v>
      </c>
      <c r="J47" s="5" t="str">
        <f t="shared" ca="1" si="2"/>
        <v>1-30 Days</v>
      </c>
      <c r="K47" s="5" t="str">
        <f t="shared" si="3"/>
        <v>paid</v>
      </c>
    </row>
    <row r="48" spans="1:11" x14ac:dyDescent="0.25">
      <c r="A48" s="5" t="s">
        <v>74</v>
      </c>
      <c r="B48" s="5" t="s">
        <v>24</v>
      </c>
      <c r="C48" s="6">
        <v>45929</v>
      </c>
      <c r="D48" s="6">
        <v>45950</v>
      </c>
      <c r="E48" s="6"/>
      <c r="F48" s="7">
        <v>1250000</v>
      </c>
      <c r="G48" s="7">
        <v>0</v>
      </c>
      <c r="H48" s="7">
        <f t="shared" si="0"/>
        <v>1250000</v>
      </c>
      <c r="I48" s="5">
        <f t="shared" ca="1" si="1"/>
        <v>338</v>
      </c>
      <c r="J48" s="5" t="str">
        <f t="shared" ca="1" si="2"/>
        <v>&gt;90 Days</v>
      </c>
      <c r="K48" s="5" t="str">
        <f t="shared" si="3"/>
        <v>outstanding</v>
      </c>
    </row>
    <row r="49" spans="1:11" x14ac:dyDescent="0.25">
      <c r="A49" s="5" t="s">
        <v>75</v>
      </c>
      <c r="B49" s="5" t="s">
        <v>27</v>
      </c>
      <c r="C49" s="6">
        <v>45753</v>
      </c>
      <c r="D49" s="6">
        <v>45767</v>
      </c>
      <c r="E49" s="6">
        <v>45812</v>
      </c>
      <c r="F49" s="7">
        <v>12500000</v>
      </c>
      <c r="G49" s="7">
        <v>12500000</v>
      </c>
      <c r="H49" s="7">
        <f t="shared" si="0"/>
        <v>0</v>
      </c>
      <c r="I49" s="5">
        <f t="shared" ca="1" si="1"/>
        <v>45</v>
      </c>
      <c r="J49" s="5" t="str">
        <f t="shared" ca="1" si="2"/>
        <v>31-60 Days</v>
      </c>
      <c r="K49" s="5" t="str">
        <f t="shared" si="3"/>
        <v>paid</v>
      </c>
    </row>
    <row r="50" spans="1:11" x14ac:dyDescent="0.25">
      <c r="A50" s="5" t="s">
        <v>76</v>
      </c>
      <c r="B50" s="5" t="s">
        <v>40</v>
      </c>
      <c r="C50" s="6">
        <v>45864</v>
      </c>
      <c r="D50" s="6">
        <v>45878</v>
      </c>
      <c r="E50" s="6">
        <v>45906</v>
      </c>
      <c r="F50" s="7">
        <v>12500000</v>
      </c>
      <c r="G50" s="7">
        <v>12500000</v>
      </c>
      <c r="H50" s="7">
        <f t="shared" si="0"/>
        <v>0</v>
      </c>
      <c r="I50" s="5">
        <f t="shared" ca="1" si="1"/>
        <v>28</v>
      </c>
      <c r="J50" s="5" t="str">
        <f t="shared" ca="1" si="2"/>
        <v>1-30 Days</v>
      </c>
      <c r="K50" s="5" t="str">
        <f t="shared" si="3"/>
        <v>paid</v>
      </c>
    </row>
    <row r="51" spans="1:11" x14ac:dyDescent="0.25">
      <c r="A51" s="5" t="s">
        <v>77</v>
      </c>
      <c r="B51" s="5" t="s">
        <v>31</v>
      </c>
      <c r="C51" s="6">
        <v>45975</v>
      </c>
      <c r="D51" s="6">
        <v>45989</v>
      </c>
      <c r="E51" s="6">
        <v>46024</v>
      </c>
      <c r="F51" s="7">
        <v>6750000</v>
      </c>
      <c r="G51" s="7">
        <v>3595000</v>
      </c>
      <c r="H51" s="7">
        <f t="shared" si="0"/>
        <v>3155000</v>
      </c>
      <c r="I51" s="5">
        <f t="shared" ca="1" si="1"/>
        <v>35</v>
      </c>
      <c r="J51" s="5" t="str">
        <f t="shared" ca="1" si="2"/>
        <v>31-60 Days</v>
      </c>
      <c r="K51" s="5" t="str">
        <f t="shared" si="3"/>
        <v>paid</v>
      </c>
    </row>
    <row r="52" spans="1:11" x14ac:dyDescent="0.25">
      <c r="A52" s="5" t="s">
        <v>78</v>
      </c>
      <c r="B52" s="5" t="s">
        <v>48</v>
      </c>
      <c r="C52" s="6">
        <v>45762</v>
      </c>
      <c r="D52" s="6">
        <v>45792</v>
      </c>
      <c r="E52" s="6">
        <v>45790</v>
      </c>
      <c r="F52" s="7">
        <v>3250000</v>
      </c>
      <c r="G52" s="7">
        <v>3250000</v>
      </c>
      <c r="H52" s="7">
        <f t="shared" si="0"/>
        <v>0</v>
      </c>
      <c r="I52" s="5">
        <f t="shared" ca="1" si="1"/>
        <v>0</v>
      </c>
      <c r="J52" s="5" t="str">
        <f t="shared" ca="1" si="2"/>
        <v>Current</v>
      </c>
      <c r="K52" s="5" t="str">
        <f t="shared" si="3"/>
        <v>paid</v>
      </c>
    </row>
    <row r="53" spans="1:11" x14ac:dyDescent="0.25">
      <c r="A53" s="5" t="s">
        <v>79</v>
      </c>
      <c r="B53" s="5" t="s">
        <v>12</v>
      </c>
      <c r="C53" s="6">
        <v>45892</v>
      </c>
      <c r="D53" s="6">
        <v>45922</v>
      </c>
      <c r="E53" s="6">
        <v>45951</v>
      </c>
      <c r="F53" s="7">
        <v>1750000</v>
      </c>
      <c r="G53" s="7">
        <v>1750000</v>
      </c>
      <c r="H53" s="7">
        <f t="shared" si="0"/>
        <v>0</v>
      </c>
      <c r="I53" s="5">
        <f t="shared" ca="1" si="1"/>
        <v>29</v>
      </c>
      <c r="J53" s="5" t="str">
        <f t="shared" ca="1" si="2"/>
        <v>1-30 Days</v>
      </c>
      <c r="K53" s="5" t="str">
        <f t="shared" si="3"/>
        <v>paid</v>
      </c>
    </row>
    <row r="54" spans="1:11" x14ac:dyDescent="0.25">
      <c r="A54" s="5" t="s">
        <v>80</v>
      </c>
      <c r="B54" s="5" t="s">
        <v>22</v>
      </c>
      <c r="C54" s="6">
        <v>45695</v>
      </c>
      <c r="D54" s="6">
        <v>45740</v>
      </c>
      <c r="E54" s="6">
        <v>45738</v>
      </c>
      <c r="F54" s="7">
        <v>3250000</v>
      </c>
      <c r="G54" s="7">
        <v>3250000</v>
      </c>
      <c r="H54" s="7">
        <f t="shared" si="0"/>
        <v>0</v>
      </c>
      <c r="I54" s="5">
        <f t="shared" ca="1" si="1"/>
        <v>0</v>
      </c>
      <c r="J54" s="5" t="str">
        <f t="shared" ca="1" si="2"/>
        <v>Current</v>
      </c>
      <c r="K54" s="5" t="str">
        <f t="shared" si="3"/>
        <v>paid</v>
      </c>
    </row>
    <row r="55" spans="1:11" x14ac:dyDescent="0.25">
      <c r="A55" s="5" t="s">
        <v>81</v>
      </c>
      <c r="B55" s="5" t="s">
        <v>16</v>
      </c>
      <c r="C55" s="6">
        <v>45693</v>
      </c>
      <c r="D55" s="6">
        <v>45714</v>
      </c>
      <c r="E55" s="6">
        <v>45732</v>
      </c>
      <c r="F55" s="7">
        <v>5500000</v>
      </c>
      <c r="G55" s="7">
        <v>5500000</v>
      </c>
      <c r="H55" s="7">
        <f t="shared" si="0"/>
        <v>0</v>
      </c>
      <c r="I55" s="5">
        <f t="shared" ca="1" si="1"/>
        <v>18</v>
      </c>
      <c r="J55" s="5" t="str">
        <f t="shared" ca="1" si="2"/>
        <v>1-30 Days</v>
      </c>
      <c r="K55" s="5" t="str">
        <f t="shared" si="3"/>
        <v>paid</v>
      </c>
    </row>
    <row r="56" spans="1:11" x14ac:dyDescent="0.25">
      <c r="A56" s="5" t="s">
        <v>82</v>
      </c>
      <c r="B56" s="5" t="s">
        <v>44</v>
      </c>
      <c r="C56" s="6">
        <v>46018</v>
      </c>
      <c r="D56" s="6">
        <v>46048</v>
      </c>
      <c r="E56" s="6"/>
      <c r="F56" s="7">
        <v>12500000</v>
      </c>
      <c r="G56" s="7">
        <v>0</v>
      </c>
      <c r="H56" s="7">
        <f t="shared" si="0"/>
        <v>12500000</v>
      </c>
      <c r="I56" s="5">
        <f t="shared" ca="1" si="1"/>
        <v>240</v>
      </c>
      <c r="J56" s="5" t="str">
        <f t="shared" ca="1" si="2"/>
        <v>&gt;90 Days</v>
      </c>
      <c r="K56" s="5" t="str">
        <f t="shared" si="3"/>
        <v>outstanding</v>
      </c>
    </row>
    <row r="57" spans="1:11" x14ac:dyDescent="0.25">
      <c r="A57" s="5" t="s">
        <v>83</v>
      </c>
      <c r="B57" s="5" t="s">
        <v>12</v>
      </c>
      <c r="C57" s="6">
        <v>45662</v>
      </c>
      <c r="D57" s="6">
        <v>45707</v>
      </c>
      <c r="E57" s="6"/>
      <c r="F57" s="7">
        <v>4500000</v>
      </c>
      <c r="G57" s="7">
        <v>0</v>
      </c>
      <c r="H57" s="7">
        <f t="shared" si="0"/>
        <v>4500000</v>
      </c>
      <c r="I57" s="5">
        <f t="shared" ca="1" si="1"/>
        <v>581</v>
      </c>
      <c r="J57" s="5" t="str">
        <f t="shared" ca="1" si="2"/>
        <v>&gt;90 Days</v>
      </c>
      <c r="K57" s="5" t="str">
        <f t="shared" si="3"/>
        <v>outstanding</v>
      </c>
    </row>
    <row r="58" spans="1:11" x14ac:dyDescent="0.25">
      <c r="A58" s="5" t="s">
        <v>84</v>
      </c>
      <c r="B58" s="5" t="s">
        <v>16</v>
      </c>
      <c r="C58" s="6">
        <v>45726</v>
      </c>
      <c r="D58" s="6">
        <v>45756</v>
      </c>
      <c r="E58" s="6"/>
      <c r="F58" s="7">
        <v>1750000</v>
      </c>
      <c r="G58" s="7">
        <v>0</v>
      </c>
      <c r="H58" s="7">
        <f t="shared" si="0"/>
        <v>1750000</v>
      </c>
      <c r="I58" s="5">
        <f t="shared" ca="1" si="1"/>
        <v>532</v>
      </c>
      <c r="J58" s="5" t="str">
        <f t="shared" ca="1" si="2"/>
        <v>&gt;90 Days</v>
      </c>
      <c r="K58" s="5" t="str">
        <f t="shared" si="3"/>
        <v>outstanding</v>
      </c>
    </row>
    <row r="59" spans="1:11" x14ac:dyDescent="0.25">
      <c r="A59" s="5" t="s">
        <v>85</v>
      </c>
      <c r="B59" s="5" t="s">
        <v>31</v>
      </c>
      <c r="C59" s="6">
        <v>45737</v>
      </c>
      <c r="D59" s="6">
        <v>45767</v>
      </c>
      <c r="E59" s="6">
        <v>45788</v>
      </c>
      <c r="F59" s="7">
        <v>4500000</v>
      </c>
      <c r="G59" s="7">
        <v>2740000</v>
      </c>
      <c r="H59" s="7">
        <f t="shared" si="0"/>
        <v>1760000</v>
      </c>
      <c r="I59" s="5">
        <f t="shared" ca="1" si="1"/>
        <v>21</v>
      </c>
      <c r="J59" s="5" t="str">
        <f t="shared" ca="1" si="2"/>
        <v>1-30 Days</v>
      </c>
      <c r="K59" s="5" t="str">
        <f t="shared" si="3"/>
        <v>paid</v>
      </c>
    </row>
    <row r="60" spans="1:11" x14ac:dyDescent="0.25">
      <c r="A60" s="5" t="s">
        <v>86</v>
      </c>
      <c r="B60" s="5" t="s">
        <v>40</v>
      </c>
      <c r="C60" s="6">
        <v>45916</v>
      </c>
      <c r="D60" s="6">
        <v>45946</v>
      </c>
      <c r="E60" s="6"/>
      <c r="F60" s="7">
        <v>4500000</v>
      </c>
      <c r="G60" s="7">
        <v>0</v>
      </c>
      <c r="H60" s="7">
        <f t="shared" si="0"/>
        <v>4500000</v>
      </c>
      <c r="I60" s="5">
        <f t="shared" ca="1" si="1"/>
        <v>342</v>
      </c>
      <c r="J60" s="5" t="str">
        <f t="shared" ca="1" si="2"/>
        <v>&gt;90 Days</v>
      </c>
      <c r="K60" s="5" t="str">
        <f t="shared" si="3"/>
        <v>outstanding</v>
      </c>
    </row>
    <row r="61" spans="1:11" x14ac:dyDescent="0.25">
      <c r="A61" s="5" t="s">
        <v>87</v>
      </c>
      <c r="B61" s="5" t="s">
        <v>71</v>
      </c>
      <c r="C61" s="6">
        <v>45705</v>
      </c>
      <c r="D61" s="6">
        <v>45735</v>
      </c>
      <c r="E61" s="6">
        <v>45746</v>
      </c>
      <c r="F61" s="7">
        <v>4500000</v>
      </c>
      <c r="G61" s="7">
        <v>4500000</v>
      </c>
      <c r="H61" s="7">
        <f t="shared" si="0"/>
        <v>0</v>
      </c>
      <c r="I61" s="5">
        <f t="shared" ca="1" si="1"/>
        <v>11</v>
      </c>
      <c r="J61" s="5" t="str">
        <f t="shared" ca="1" si="2"/>
        <v>1-30 Days</v>
      </c>
      <c r="K61" s="5" t="str">
        <f t="shared" si="3"/>
        <v>paid</v>
      </c>
    </row>
    <row r="62" spans="1:11" x14ac:dyDescent="0.25">
      <c r="A62" s="5" t="s">
        <v>88</v>
      </c>
      <c r="B62" s="5" t="s">
        <v>16</v>
      </c>
      <c r="C62" s="6">
        <v>45984</v>
      </c>
      <c r="D62" s="6">
        <v>46014</v>
      </c>
      <c r="E62" s="6">
        <v>46063</v>
      </c>
      <c r="F62" s="7">
        <v>2500000</v>
      </c>
      <c r="G62" s="7">
        <v>1315000</v>
      </c>
      <c r="H62" s="7">
        <f t="shared" si="0"/>
        <v>1185000</v>
      </c>
      <c r="I62" s="5">
        <f t="shared" ca="1" si="1"/>
        <v>49</v>
      </c>
      <c r="J62" s="5" t="str">
        <f t="shared" ca="1" si="2"/>
        <v>31-60 Days</v>
      </c>
      <c r="K62" s="5" t="str">
        <f t="shared" si="3"/>
        <v>paid</v>
      </c>
    </row>
    <row r="63" spans="1:11" x14ac:dyDescent="0.25">
      <c r="A63" s="5" t="s">
        <v>89</v>
      </c>
      <c r="B63" s="5" t="s">
        <v>71</v>
      </c>
      <c r="C63" s="6">
        <v>45662</v>
      </c>
      <c r="D63" s="6">
        <v>45676</v>
      </c>
      <c r="E63" s="6"/>
      <c r="F63" s="7">
        <v>1750000</v>
      </c>
      <c r="G63" s="7">
        <v>0</v>
      </c>
      <c r="H63" s="7">
        <f t="shared" si="0"/>
        <v>1750000</v>
      </c>
      <c r="I63" s="5">
        <f t="shared" ca="1" si="1"/>
        <v>612</v>
      </c>
      <c r="J63" s="5" t="str">
        <f t="shared" ca="1" si="2"/>
        <v>&gt;90 Days</v>
      </c>
      <c r="K63" s="5" t="str">
        <f t="shared" si="3"/>
        <v>outstanding</v>
      </c>
    </row>
    <row r="64" spans="1:11" x14ac:dyDescent="0.25">
      <c r="A64" s="5" t="s">
        <v>90</v>
      </c>
      <c r="B64" s="5" t="s">
        <v>40</v>
      </c>
      <c r="C64" s="6">
        <v>45937</v>
      </c>
      <c r="D64" s="6">
        <v>45951</v>
      </c>
      <c r="E64" s="6">
        <v>45962</v>
      </c>
      <c r="F64" s="7">
        <v>5500000</v>
      </c>
      <c r="G64" s="7">
        <v>1782000</v>
      </c>
      <c r="H64" s="7">
        <f t="shared" si="0"/>
        <v>3718000</v>
      </c>
      <c r="I64" s="5">
        <f t="shared" ca="1" si="1"/>
        <v>11</v>
      </c>
      <c r="J64" s="5" t="str">
        <f t="shared" ca="1" si="2"/>
        <v>1-30 Days</v>
      </c>
      <c r="K64" s="5" t="str">
        <f t="shared" si="3"/>
        <v>paid</v>
      </c>
    </row>
    <row r="65" spans="1:11" x14ac:dyDescent="0.25">
      <c r="A65" s="5" t="s">
        <v>91</v>
      </c>
      <c r="B65" s="5" t="s">
        <v>14</v>
      </c>
      <c r="C65" s="6">
        <v>45815</v>
      </c>
      <c r="D65" s="6">
        <v>45845</v>
      </c>
      <c r="E65" s="6"/>
      <c r="F65" s="7">
        <v>1250000</v>
      </c>
      <c r="G65" s="7">
        <v>0</v>
      </c>
      <c r="H65" s="7">
        <f t="shared" si="0"/>
        <v>1250000</v>
      </c>
      <c r="I65" s="5">
        <f t="shared" ca="1" si="1"/>
        <v>443</v>
      </c>
      <c r="J65" s="5" t="str">
        <f t="shared" ca="1" si="2"/>
        <v>&gt;90 Days</v>
      </c>
      <c r="K65" s="5" t="str">
        <f t="shared" si="3"/>
        <v>outstanding</v>
      </c>
    </row>
    <row r="66" spans="1:11" x14ac:dyDescent="0.25">
      <c r="A66" s="5" t="s">
        <v>92</v>
      </c>
      <c r="B66" s="5" t="s">
        <v>16</v>
      </c>
      <c r="C66" s="6">
        <v>46007</v>
      </c>
      <c r="D66" s="6">
        <v>46028</v>
      </c>
      <c r="E66" s="6">
        <v>46067</v>
      </c>
      <c r="F66" s="7">
        <v>15000000</v>
      </c>
      <c r="G66" s="7">
        <v>15000000</v>
      </c>
      <c r="H66" s="7">
        <f t="shared" si="0"/>
        <v>0</v>
      </c>
      <c r="I66" s="5">
        <f t="shared" ca="1" si="1"/>
        <v>39</v>
      </c>
      <c r="J66" s="5" t="str">
        <f t="shared" ca="1" si="2"/>
        <v>31-60 Days</v>
      </c>
      <c r="K66" s="5" t="str">
        <f t="shared" si="3"/>
        <v>paid</v>
      </c>
    </row>
    <row r="67" spans="1:11" x14ac:dyDescent="0.25">
      <c r="A67" s="5" t="s">
        <v>93</v>
      </c>
      <c r="B67" s="5" t="s">
        <v>18</v>
      </c>
      <c r="C67" s="6">
        <v>45866</v>
      </c>
      <c r="D67" s="6">
        <v>45911</v>
      </c>
      <c r="E67" s="6">
        <v>45916</v>
      </c>
      <c r="F67" s="7">
        <v>18500000</v>
      </c>
      <c r="G67" s="7">
        <v>18500000</v>
      </c>
      <c r="H67" s="7">
        <f t="shared" ref="H67:H101" si="4">F67-G67</f>
        <v>0</v>
      </c>
      <c r="I67" s="5">
        <f t="shared" ref="I67:I101" ca="1" si="5">IF(E67&lt;&gt;"",MAX(0,E67-D67),MAX(0,TODAY()-D67))</f>
        <v>5</v>
      </c>
      <c r="J67" s="5" t="str">
        <f t="shared" ref="J67:J101" ca="1" si="6">IF(I67=0,"Current",IF(I67&lt;=30,"1-30 Days",IF(I67&lt;=60,"31-60 Days",IF(I67&lt;=90,"61-90 Days","&gt;90 Days"))))</f>
        <v>1-30 Days</v>
      </c>
      <c r="K67" s="5" t="str">
        <f t="shared" ref="K67:K101" si="7">IF(G67&gt;0,"paid","outstanding")</f>
        <v>paid</v>
      </c>
    </row>
    <row r="68" spans="1:11" x14ac:dyDescent="0.25">
      <c r="A68" s="5" t="s">
        <v>94</v>
      </c>
      <c r="B68" s="5" t="s">
        <v>42</v>
      </c>
      <c r="C68" s="6">
        <v>45748</v>
      </c>
      <c r="D68" s="6">
        <v>45778</v>
      </c>
      <c r="E68" s="6">
        <v>45789</v>
      </c>
      <c r="F68" s="7">
        <v>1250000</v>
      </c>
      <c r="G68" s="7">
        <v>1250000</v>
      </c>
      <c r="H68" s="7">
        <f t="shared" si="4"/>
        <v>0</v>
      </c>
      <c r="I68" s="5">
        <f t="shared" ca="1" si="5"/>
        <v>11</v>
      </c>
      <c r="J68" s="5" t="str">
        <f t="shared" ca="1" si="6"/>
        <v>1-30 Days</v>
      </c>
      <c r="K68" s="5" t="str">
        <f t="shared" si="7"/>
        <v>paid</v>
      </c>
    </row>
    <row r="69" spans="1:11" x14ac:dyDescent="0.25">
      <c r="A69" s="5" t="s">
        <v>95</v>
      </c>
      <c r="B69" s="5" t="s">
        <v>12</v>
      </c>
      <c r="C69" s="6">
        <v>46000</v>
      </c>
      <c r="D69" s="6">
        <v>46021</v>
      </c>
      <c r="E69" s="6">
        <v>46055</v>
      </c>
      <c r="F69" s="7">
        <v>4500000</v>
      </c>
      <c r="G69" s="7">
        <v>4500000</v>
      </c>
      <c r="H69" s="7">
        <f t="shared" si="4"/>
        <v>0</v>
      </c>
      <c r="I69" s="5">
        <f t="shared" ca="1" si="5"/>
        <v>34</v>
      </c>
      <c r="J69" s="5" t="str">
        <f t="shared" ca="1" si="6"/>
        <v>31-60 Days</v>
      </c>
      <c r="K69" s="5" t="str">
        <f t="shared" si="7"/>
        <v>paid</v>
      </c>
    </row>
    <row r="70" spans="1:11" x14ac:dyDescent="0.25">
      <c r="A70" s="5" t="s">
        <v>96</v>
      </c>
      <c r="B70" s="5" t="s">
        <v>35</v>
      </c>
      <c r="C70" s="6">
        <v>45853</v>
      </c>
      <c r="D70" s="6">
        <v>45867</v>
      </c>
      <c r="E70" s="6">
        <v>45909</v>
      </c>
      <c r="F70" s="7">
        <v>8250000</v>
      </c>
      <c r="G70" s="7">
        <v>8250000</v>
      </c>
      <c r="H70" s="7">
        <f t="shared" si="4"/>
        <v>0</v>
      </c>
      <c r="I70" s="5">
        <f t="shared" ca="1" si="5"/>
        <v>42</v>
      </c>
      <c r="J70" s="5" t="str">
        <f t="shared" ca="1" si="6"/>
        <v>31-60 Days</v>
      </c>
      <c r="K70" s="5" t="str">
        <f t="shared" si="7"/>
        <v>paid</v>
      </c>
    </row>
    <row r="71" spans="1:11" x14ac:dyDescent="0.25">
      <c r="A71" s="5" t="s">
        <v>97</v>
      </c>
      <c r="B71" s="5" t="s">
        <v>14</v>
      </c>
      <c r="C71" s="6">
        <v>45837</v>
      </c>
      <c r="D71" s="6">
        <v>45867</v>
      </c>
      <c r="E71" s="6">
        <v>45899</v>
      </c>
      <c r="F71" s="7">
        <v>3250000</v>
      </c>
      <c r="G71" s="7">
        <v>3250000</v>
      </c>
      <c r="H71" s="7">
        <f t="shared" si="4"/>
        <v>0</v>
      </c>
      <c r="I71" s="5">
        <f t="shared" ca="1" si="5"/>
        <v>32</v>
      </c>
      <c r="J71" s="5" t="str">
        <f t="shared" ca="1" si="6"/>
        <v>31-60 Days</v>
      </c>
      <c r="K71" s="5" t="str">
        <f t="shared" si="7"/>
        <v>paid</v>
      </c>
    </row>
    <row r="72" spans="1:11" x14ac:dyDescent="0.25">
      <c r="A72" s="5" t="s">
        <v>98</v>
      </c>
      <c r="B72" s="5" t="s">
        <v>31</v>
      </c>
      <c r="C72" s="6">
        <v>45862</v>
      </c>
      <c r="D72" s="6">
        <v>45892</v>
      </c>
      <c r="E72" s="6"/>
      <c r="F72" s="7">
        <v>4500000</v>
      </c>
      <c r="G72" s="7">
        <v>0</v>
      </c>
      <c r="H72" s="7">
        <f t="shared" si="4"/>
        <v>4500000</v>
      </c>
      <c r="I72" s="5">
        <f t="shared" ca="1" si="5"/>
        <v>396</v>
      </c>
      <c r="J72" s="5" t="str">
        <f t="shared" ca="1" si="6"/>
        <v>&gt;90 Days</v>
      </c>
      <c r="K72" s="5" t="str">
        <f t="shared" si="7"/>
        <v>outstanding</v>
      </c>
    </row>
    <row r="73" spans="1:11" x14ac:dyDescent="0.25">
      <c r="A73" s="5" t="s">
        <v>99</v>
      </c>
      <c r="B73" s="5" t="s">
        <v>100</v>
      </c>
      <c r="C73" s="6">
        <v>45837</v>
      </c>
      <c r="D73" s="6">
        <v>45882</v>
      </c>
      <c r="E73" s="6">
        <v>45919</v>
      </c>
      <c r="F73" s="7">
        <v>6750000</v>
      </c>
      <c r="G73" s="7">
        <v>4535000</v>
      </c>
      <c r="H73" s="7">
        <f t="shared" si="4"/>
        <v>2215000</v>
      </c>
      <c r="I73" s="5">
        <f t="shared" ca="1" si="5"/>
        <v>37</v>
      </c>
      <c r="J73" s="5" t="str">
        <f t="shared" ca="1" si="6"/>
        <v>31-60 Days</v>
      </c>
      <c r="K73" s="5" t="str">
        <f t="shared" si="7"/>
        <v>paid</v>
      </c>
    </row>
    <row r="74" spans="1:11" x14ac:dyDescent="0.25">
      <c r="A74" s="5" t="s">
        <v>101</v>
      </c>
      <c r="B74" s="5" t="s">
        <v>12</v>
      </c>
      <c r="C74" s="6">
        <v>45717</v>
      </c>
      <c r="D74" s="6">
        <v>45747</v>
      </c>
      <c r="E74" s="6">
        <v>45746</v>
      </c>
      <c r="F74" s="7">
        <v>2500000</v>
      </c>
      <c r="G74" s="7">
        <v>1854000</v>
      </c>
      <c r="H74" s="7">
        <f t="shared" si="4"/>
        <v>646000</v>
      </c>
      <c r="I74" s="5">
        <f t="shared" ca="1" si="5"/>
        <v>0</v>
      </c>
      <c r="J74" s="5" t="str">
        <f t="shared" ca="1" si="6"/>
        <v>Current</v>
      </c>
      <c r="K74" s="5" t="str">
        <f t="shared" si="7"/>
        <v>paid</v>
      </c>
    </row>
    <row r="75" spans="1:11" x14ac:dyDescent="0.25">
      <c r="A75" s="5" t="s">
        <v>102</v>
      </c>
      <c r="B75" s="5" t="s">
        <v>12</v>
      </c>
      <c r="C75" s="6">
        <v>45963</v>
      </c>
      <c r="D75" s="6">
        <v>45993</v>
      </c>
      <c r="E75" s="6">
        <v>46053</v>
      </c>
      <c r="F75" s="7">
        <v>5500000</v>
      </c>
      <c r="G75" s="7">
        <v>2238000</v>
      </c>
      <c r="H75" s="7">
        <f t="shared" si="4"/>
        <v>3262000</v>
      </c>
      <c r="I75" s="5">
        <f t="shared" ca="1" si="5"/>
        <v>60</v>
      </c>
      <c r="J75" s="5" t="str">
        <f t="shared" ca="1" si="6"/>
        <v>31-60 Days</v>
      </c>
      <c r="K75" s="5" t="str">
        <f t="shared" si="7"/>
        <v>paid</v>
      </c>
    </row>
    <row r="76" spans="1:11" x14ac:dyDescent="0.25">
      <c r="A76" s="5" t="s">
        <v>103</v>
      </c>
      <c r="B76" s="5" t="s">
        <v>42</v>
      </c>
      <c r="C76" s="6">
        <v>45855</v>
      </c>
      <c r="D76" s="6">
        <v>45900</v>
      </c>
      <c r="E76" s="6">
        <v>45935</v>
      </c>
      <c r="F76" s="7">
        <v>3250000</v>
      </c>
      <c r="G76" s="7">
        <v>3250000</v>
      </c>
      <c r="H76" s="7">
        <f t="shared" si="4"/>
        <v>0</v>
      </c>
      <c r="I76" s="5">
        <f t="shared" ca="1" si="5"/>
        <v>35</v>
      </c>
      <c r="J76" s="5" t="str">
        <f t="shared" ca="1" si="6"/>
        <v>31-60 Days</v>
      </c>
      <c r="K76" s="5" t="str">
        <f t="shared" si="7"/>
        <v>paid</v>
      </c>
    </row>
    <row r="77" spans="1:11" x14ac:dyDescent="0.25">
      <c r="A77" s="5" t="s">
        <v>104</v>
      </c>
      <c r="B77" s="5" t="s">
        <v>22</v>
      </c>
      <c r="C77" s="6">
        <v>45658</v>
      </c>
      <c r="D77" s="6">
        <v>45703</v>
      </c>
      <c r="E77" s="6">
        <v>45723</v>
      </c>
      <c r="F77" s="7">
        <v>10000000</v>
      </c>
      <c r="G77" s="7">
        <v>7201000</v>
      </c>
      <c r="H77" s="7">
        <f t="shared" si="4"/>
        <v>2799000</v>
      </c>
      <c r="I77" s="5">
        <f t="shared" ca="1" si="5"/>
        <v>20</v>
      </c>
      <c r="J77" s="5" t="str">
        <f t="shared" ca="1" si="6"/>
        <v>1-30 Days</v>
      </c>
      <c r="K77" s="5" t="str">
        <f t="shared" si="7"/>
        <v>paid</v>
      </c>
    </row>
    <row r="78" spans="1:11" x14ac:dyDescent="0.25">
      <c r="A78" s="5" t="s">
        <v>105</v>
      </c>
      <c r="B78" s="5" t="s">
        <v>20</v>
      </c>
      <c r="C78" s="6">
        <v>45878</v>
      </c>
      <c r="D78" s="6">
        <v>45892</v>
      </c>
      <c r="E78" s="6"/>
      <c r="F78" s="7">
        <v>15000000</v>
      </c>
      <c r="G78" s="7">
        <v>0</v>
      </c>
      <c r="H78" s="7">
        <f t="shared" si="4"/>
        <v>15000000</v>
      </c>
      <c r="I78" s="5">
        <f t="shared" ca="1" si="5"/>
        <v>396</v>
      </c>
      <c r="J78" s="5" t="str">
        <f t="shared" ca="1" si="6"/>
        <v>&gt;90 Days</v>
      </c>
      <c r="K78" s="5" t="str">
        <f t="shared" si="7"/>
        <v>outstanding</v>
      </c>
    </row>
    <row r="79" spans="1:11" x14ac:dyDescent="0.25">
      <c r="A79" s="5" t="s">
        <v>106</v>
      </c>
      <c r="B79" s="5" t="s">
        <v>44</v>
      </c>
      <c r="C79" s="6">
        <v>45997</v>
      </c>
      <c r="D79" s="6">
        <v>46011</v>
      </c>
      <c r="E79" s="6"/>
      <c r="F79" s="7">
        <v>18500000</v>
      </c>
      <c r="G79" s="7">
        <v>0</v>
      </c>
      <c r="H79" s="7">
        <f t="shared" si="4"/>
        <v>18500000</v>
      </c>
      <c r="I79" s="5">
        <f t="shared" ca="1" si="5"/>
        <v>277</v>
      </c>
      <c r="J79" s="5" t="str">
        <f t="shared" ca="1" si="6"/>
        <v>&gt;90 Days</v>
      </c>
      <c r="K79" s="5" t="str">
        <f t="shared" si="7"/>
        <v>outstanding</v>
      </c>
    </row>
    <row r="80" spans="1:11" x14ac:dyDescent="0.25">
      <c r="A80" s="5" t="s">
        <v>107</v>
      </c>
      <c r="B80" s="5" t="s">
        <v>16</v>
      </c>
      <c r="C80" s="6">
        <v>45816</v>
      </c>
      <c r="D80" s="6">
        <v>45846</v>
      </c>
      <c r="E80" s="6">
        <v>45854</v>
      </c>
      <c r="F80" s="7">
        <v>5500000</v>
      </c>
      <c r="G80" s="7">
        <v>5500000</v>
      </c>
      <c r="H80" s="7">
        <f t="shared" si="4"/>
        <v>0</v>
      </c>
      <c r="I80" s="5">
        <f t="shared" ca="1" si="5"/>
        <v>8</v>
      </c>
      <c r="J80" s="5" t="str">
        <f t="shared" ca="1" si="6"/>
        <v>1-30 Days</v>
      </c>
      <c r="K80" s="5" t="str">
        <f t="shared" si="7"/>
        <v>paid</v>
      </c>
    </row>
    <row r="81" spans="1:11" x14ac:dyDescent="0.25">
      <c r="A81" s="5" t="s">
        <v>108</v>
      </c>
      <c r="B81" s="5" t="s">
        <v>48</v>
      </c>
      <c r="C81" s="6">
        <v>45723</v>
      </c>
      <c r="D81" s="6">
        <v>45744</v>
      </c>
      <c r="E81" s="6">
        <v>45761</v>
      </c>
      <c r="F81" s="7">
        <v>6750000</v>
      </c>
      <c r="G81" s="7">
        <v>2967000</v>
      </c>
      <c r="H81" s="7">
        <f t="shared" si="4"/>
        <v>3783000</v>
      </c>
      <c r="I81" s="5">
        <f t="shared" ca="1" si="5"/>
        <v>17</v>
      </c>
      <c r="J81" s="5" t="str">
        <f t="shared" ca="1" si="6"/>
        <v>1-30 Days</v>
      </c>
      <c r="K81" s="5" t="str">
        <f t="shared" si="7"/>
        <v>paid</v>
      </c>
    </row>
    <row r="82" spans="1:11" x14ac:dyDescent="0.25">
      <c r="A82" s="5" t="s">
        <v>109</v>
      </c>
      <c r="B82" s="5" t="s">
        <v>42</v>
      </c>
      <c r="C82" s="6">
        <v>45865</v>
      </c>
      <c r="D82" s="6">
        <v>45910</v>
      </c>
      <c r="E82" s="6">
        <v>45913</v>
      </c>
      <c r="F82" s="7">
        <v>1250000</v>
      </c>
      <c r="G82" s="7">
        <v>1250000</v>
      </c>
      <c r="H82" s="7">
        <f t="shared" si="4"/>
        <v>0</v>
      </c>
      <c r="I82" s="5">
        <f t="shared" ca="1" si="5"/>
        <v>3</v>
      </c>
      <c r="J82" s="5" t="str">
        <f t="shared" ca="1" si="6"/>
        <v>1-30 Days</v>
      </c>
      <c r="K82" s="5" t="str">
        <f t="shared" si="7"/>
        <v>paid</v>
      </c>
    </row>
    <row r="83" spans="1:11" x14ac:dyDescent="0.25">
      <c r="A83" s="5" t="s">
        <v>110</v>
      </c>
      <c r="B83" s="5" t="s">
        <v>35</v>
      </c>
      <c r="C83" s="6">
        <v>45954</v>
      </c>
      <c r="D83" s="6">
        <v>45999</v>
      </c>
      <c r="E83" s="6">
        <v>46017</v>
      </c>
      <c r="F83" s="7">
        <v>15000000</v>
      </c>
      <c r="G83" s="7">
        <v>15000000</v>
      </c>
      <c r="H83" s="7">
        <f t="shared" si="4"/>
        <v>0</v>
      </c>
      <c r="I83" s="5">
        <f t="shared" ca="1" si="5"/>
        <v>18</v>
      </c>
      <c r="J83" s="5" t="str">
        <f t="shared" ca="1" si="6"/>
        <v>1-30 Days</v>
      </c>
      <c r="K83" s="5" t="str">
        <f t="shared" si="7"/>
        <v>paid</v>
      </c>
    </row>
    <row r="84" spans="1:11" x14ac:dyDescent="0.25">
      <c r="A84" s="5" t="s">
        <v>111</v>
      </c>
      <c r="B84" s="5" t="s">
        <v>18</v>
      </c>
      <c r="C84" s="6">
        <v>46003</v>
      </c>
      <c r="D84" s="6">
        <v>46024</v>
      </c>
      <c r="E84" s="6">
        <v>46064</v>
      </c>
      <c r="F84" s="7">
        <v>10000000</v>
      </c>
      <c r="G84" s="7">
        <v>10000000</v>
      </c>
      <c r="H84" s="7">
        <f t="shared" si="4"/>
        <v>0</v>
      </c>
      <c r="I84" s="5">
        <f t="shared" ca="1" si="5"/>
        <v>40</v>
      </c>
      <c r="J84" s="5" t="str">
        <f t="shared" ca="1" si="6"/>
        <v>31-60 Days</v>
      </c>
      <c r="K84" s="5" t="str">
        <f t="shared" si="7"/>
        <v>paid</v>
      </c>
    </row>
    <row r="85" spans="1:11" x14ac:dyDescent="0.25">
      <c r="A85" s="5" t="s">
        <v>112</v>
      </c>
      <c r="B85" s="5" t="s">
        <v>20</v>
      </c>
      <c r="C85" s="6">
        <v>45995</v>
      </c>
      <c r="D85" s="6">
        <v>46009</v>
      </c>
      <c r="E85" s="6">
        <v>46039</v>
      </c>
      <c r="F85" s="7">
        <v>4500000</v>
      </c>
      <c r="G85" s="7">
        <v>4500000</v>
      </c>
      <c r="H85" s="7">
        <f t="shared" si="4"/>
        <v>0</v>
      </c>
      <c r="I85" s="5">
        <f t="shared" ca="1" si="5"/>
        <v>30</v>
      </c>
      <c r="J85" s="5" t="str">
        <f t="shared" ca="1" si="6"/>
        <v>1-30 Days</v>
      </c>
      <c r="K85" s="5" t="str">
        <f t="shared" si="7"/>
        <v>paid</v>
      </c>
    </row>
    <row r="86" spans="1:11" x14ac:dyDescent="0.25">
      <c r="A86" s="5" t="s">
        <v>113</v>
      </c>
      <c r="B86" s="5" t="s">
        <v>14</v>
      </c>
      <c r="C86" s="6">
        <v>45705</v>
      </c>
      <c r="D86" s="6">
        <v>45726</v>
      </c>
      <c r="E86" s="6">
        <v>45767</v>
      </c>
      <c r="F86" s="7">
        <v>15000000</v>
      </c>
      <c r="G86" s="7">
        <v>15000000</v>
      </c>
      <c r="H86" s="7">
        <f t="shared" si="4"/>
        <v>0</v>
      </c>
      <c r="I86" s="5">
        <f t="shared" ca="1" si="5"/>
        <v>41</v>
      </c>
      <c r="J86" s="5" t="str">
        <f t="shared" ca="1" si="6"/>
        <v>31-60 Days</v>
      </c>
      <c r="K86" s="5" t="str">
        <f t="shared" si="7"/>
        <v>paid</v>
      </c>
    </row>
    <row r="87" spans="1:11" x14ac:dyDescent="0.25">
      <c r="A87" s="5" t="s">
        <v>114</v>
      </c>
      <c r="B87" s="5" t="s">
        <v>24</v>
      </c>
      <c r="C87" s="6">
        <v>45733</v>
      </c>
      <c r="D87" s="6">
        <v>45747</v>
      </c>
      <c r="E87" s="6">
        <v>45767</v>
      </c>
      <c r="F87" s="7">
        <v>1250000</v>
      </c>
      <c r="G87" s="7">
        <v>1250000</v>
      </c>
      <c r="H87" s="7">
        <f t="shared" si="4"/>
        <v>0</v>
      </c>
      <c r="I87" s="5">
        <f t="shared" ca="1" si="5"/>
        <v>20</v>
      </c>
      <c r="J87" s="5" t="str">
        <f t="shared" ca="1" si="6"/>
        <v>1-30 Days</v>
      </c>
      <c r="K87" s="5" t="str">
        <f t="shared" si="7"/>
        <v>paid</v>
      </c>
    </row>
    <row r="88" spans="1:11" x14ac:dyDescent="0.25">
      <c r="A88" s="5" t="s">
        <v>115</v>
      </c>
      <c r="B88" s="5" t="s">
        <v>38</v>
      </c>
      <c r="C88" s="6">
        <v>45891</v>
      </c>
      <c r="D88" s="6">
        <v>45921</v>
      </c>
      <c r="E88" s="6">
        <v>45956</v>
      </c>
      <c r="F88" s="7">
        <v>15000000</v>
      </c>
      <c r="G88" s="7">
        <v>15000000</v>
      </c>
      <c r="H88" s="7">
        <f t="shared" si="4"/>
        <v>0</v>
      </c>
      <c r="I88" s="5">
        <f t="shared" ca="1" si="5"/>
        <v>35</v>
      </c>
      <c r="J88" s="5" t="str">
        <f t="shared" ca="1" si="6"/>
        <v>31-60 Days</v>
      </c>
      <c r="K88" s="5" t="str">
        <f t="shared" si="7"/>
        <v>paid</v>
      </c>
    </row>
    <row r="89" spans="1:11" x14ac:dyDescent="0.25">
      <c r="A89" s="5" t="s">
        <v>116</v>
      </c>
      <c r="B89" s="5" t="s">
        <v>100</v>
      </c>
      <c r="C89" s="6">
        <v>45911</v>
      </c>
      <c r="D89" s="6">
        <v>45941</v>
      </c>
      <c r="E89" s="6">
        <v>45975</v>
      </c>
      <c r="F89" s="7">
        <v>3250000</v>
      </c>
      <c r="G89" s="7">
        <v>3250000</v>
      </c>
      <c r="H89" s="7">
        <f t="shared" si="4"/>
        <v>0</v>
      </c>
      <c r="I89" s="5">
        <f t="shared" ca="1" si="5"/>
        <v>34</v>
      </c>
      <c r="J89" s="5" t="str">
        <f t="shared" ca="1" si="6"/>
        <v>31-60 Days</v>
      </c>
      <c r="K89" s="5" t="str">
        <f t="shared" si="7"/>
        <v>paid</v>
      </c>
    </row>
    <row r="90" spans="1:11" x14ac:dyDescent="0.25">
      <c r="A90" s="5" t="s">
        <v>117</v>
      </c>
      <c r="B90" s="5" t="s">
        <v>44</v>
      </c>
      <c r="C90" s="6">
        <v>45712</v>
      </c>
      <c r="D90" s="6">
        <v>45742</v>
      </c>
      <c r="E90" s="6">
        <v>45776</v>
      </c>
      <c r="F90" s="7">
        <v>3250000</v>
      </c>
      <c r="G90" s="7">
        <v>3250000</v>
      </c>
      <c r="H90" s="7">
        <f t="shared" si="4"/>
        <v>0</v>
      </c>
      <c r="I90" s="5">
        <f t="shared" ca="1" si="5"/>
        <v>34</v>
      </c>
      <c r="J90" s="5" t="str">
        <f t="shared" ca="1" si="6"/>
        <v>31-60 Days</v>
      </c>
      <c r="K90" s="5" t="str">
        <f t="shared" si="7"/>
        <v>paid</v>
      </c>
    </row>
    <row r="91" spans="1:11" x14ac:dyDescent="0.25">
      <c r="A91" s="5" t="s">
        <v>118</v>
      </c>
      <c r="B91" s="5" t="s">
        <v>12</v>
      </c>
      <c r="C91" s="6">
        <v>45895</v>
      </c>
      <c r="D91" s="6">
        <v>45909</v>
      </c>
      <c r="E91" s="6">
        <v>45953</v>
      </c>
      <c r="F91" s="7">
        <v>10000000</v>
      </c>
      <c r="G91" s="7">
        <v>10000000</v>
      </c>
      <c r="H91" s="7">
        <f t="shared" si="4"/>
        <v>0</v>
      </c>
      <c r="I91" s="5">
        <f t="shared" ca="1" si="5"/>
        <v>44</v>
      </c>
      <c r="J91" s="5" t="str">
        <f t="shared" ca="1" si="6"/>
        <v>31-60 Days</v>
      </c>
      <c r="K91" s="5" t="str">
        <f t="shared" si="7"/>
        <v>paid</v>
      </c>
    </row>
    <row r="92" spans="1:11" x14ac:dyDescent="0.25">
      <c r="A92" s="5" t="s">
        <v>119</v>
      </c>
      <c r="B92" s="5" t="s">
        <v>35</v>
      </c>
      <c r="C92" s="6">
        <v>45891</v>
      </c>
      <c r="D92" s="6">
        <v>45912</v>
      </c>
      <c r="E92" s="6">
        <v>45947</v>
      </c>
      <c r="F92" s="7">
        <v>8250000</v>
      </c>
      <c r="G92" s="7">
        <v>6138000</v>
      </c>
      <c r="H92" s="7">
        <f t="shared" si="4"/>
        <v>2112000</v>
      </c>
      <c r="I92" s="5">
        <f t="shared" ca="1" si="5"/>
        <v>35</v>
      </c>
      <c r="J92" s="5" t="str">
        <f t="shared" ca="1" si="6"/>
        <v>31-60 Days</v>
      </c>
      <c r="K92" s="5" t="str">
        <f t="shared" si="7"/>
        <v>paid</v>
      </c>
    </row>
    <row r="93" spans="1:11" x14ac:dyDescent="0.25">
      <c r="A93" s="5" t="s">
        <v>120</v>
      </c>
      <c r="B93" s="5" t="s">
        <v>16</v>
      </c>
      <c r="C93" s="6">
        <v>45971</v>
      </c>
      <c r="D93" s="6">
        <v>46016</v>
      </c>
      <c r="E93" s="6"/>
      <c r="F93" s="7">
        <v>6750000</v>
      </c>
      <c r="G93" s="7">
        <v>0</v>
      </c>
      <c r="H93" s="7">
        <f t="shared" si="4"/>
        <v>6750000</v>
      </c>
      <c r="I93" s="5">
        <f t="shared" ca="1" si="5"/>
        <v>272</v>
      </c>
      <c r="J93" s="5" t="str">
        <f t="shared" ca="1" si="6"/>
        <v>&gt;90 Days</v>
      </c>
      <c r="K93" s="5" t="str">
        <f t="shared" si="7"/>
        <v>outstanding</v>
      </c>
    </row>
    <row r="94" spans="1:11" x14ac:dyDescent="0.25">
      <c r="A94" s="5" t="s">
        <v>121</v>
      </c>
      <c r="B94" s="5" t="s">
        <v>35</v>
      </c>
      <c r="C94" s="6">
        <v>45886</v>
      </c>
      <c r="D94" s="6">
        <v>45907</v>
      </c>
      <c r="E94" s="6"/>
      <c r="F94" s="7">
        <v>18500000</v>
      </c>
      <c r="G94" s="7">
        <v>0</v>
      </c>
      <c r="H94" s="7">
        <f t="shared" si="4"/>
        <v>18500000</v>
      </c>
      <c r="I94" s="5">
        <f t="shared" ca="1" si="5"/>
        <v>381</v>
      </c>
      <c r="J94" s="5" t="str">
        <f t="shared" ca="1" si="6"/>
        <v>&gt;90 Days</v>
      </c>
      <c r="K94" s="5" t="str">
        <f t="shared" si="7"/>
        <v>outstanding</v>
      </c>
    </row>
    <row r="95" spans="1:11" x14ac:dyDescent="0.25">
      <c r="A95" s="5" t="s">
        <v>122</v>
      </c>
      <c r="B95" s="5" t="s">
        <v>44</v>
      </c>
      <c r="C95" s="6">
        <v>45790</v>
      </c>
      <c r="D95" s="6">
        <v>45811</v>
      </c>
      <c r="E95" s="6">
        <v>45850</v>
      </c>
      <c r="F95" s="7">
        <v>15000000</v>
      </c>
      <c r="G95" s="7">
        <v>15000000</v>
      </c>
      <c r="H95" s="7">
        <f t="shared" si="4"/>
        <v>0</v>
      </c>
      <c r="I95" s="5">
        <f t="shared" ca="1" si="5"/>
        <v>39</v>
      </c>
      <c r="J95" s="5" t="str">
        <f t="shared" ca="1" si="6"/>
        <v>31-60 Days</v>
      </c>
      <c r="K95" s="5" t="str">
        <f t="shared" si="7"/>
        <v>paid</v>
      </c>
    </row>
    <row r="96" spans="1:11" x14ac:dyDescent="0.25">
      <c r="A96" s="5" t="s">
        <v>123</v>
      </c>
      <c r="B96" s="5" t="s">
        <v>48</v>
      </c>
      <c r="C96" s="6">
        <v>45906</v>
      </c>
      <c r="D96" s="6">
        <v>45927</v>
      </c>
      <c r="E96" s="6">
        <v>45962</v>
      </c>
      <c r="F96" s="7">
        <v>4500000</v>
      </c>
      <c r="G96" s="7">
        <v>4500000</v>
      </c>
      <c r="H96" s="7">
        <f t="shared" si="4"/>
        <v>0</v>
      </c>
      <c r="I96" s="5">
        <f t="shared" ca="1" si="5"/>
        <v>35</v>
      </c>
      <c r="J96" s="5" t="str">
        <f t="shared" ca="1" si="6"/>
        <v>31-60 Days</v>
      </c>
      <c r="K96" s="5" t="str">
        <f t="shared" si="7"/>
        <v>paid</v>
      </c>
    </row>
    <row r="97" spans="1:11" x14ac:dyDescent="0.25">
      <c r="A97" s="5" t="s">
        <v>124</v>
      </c>
      <c r="B97" s="5" t="s">
        <v>24</v>
      </c>
      <c r="C97" s="6">
        <v>45778</v>
      </c>
      <c r="D97" s="6">
        <v>45808</v>
      </c>
      <c r="E97" s="6">
        <v>45832</v>
      </c>
      <c r="F97" s="7">
        <v>5500000</v>
      </c>
      <c r="G97" s="7">
        <v>5500000</v>
      </c>
      <c r="H97" s="7">
        <f t="shared" si="4"/>
        <v>0</v>
      </c>
      <c r="I97" s="5">
        <f t="shared" ca="1" si="5"/>
        <v>24</v>
      </c>
      <c r="J97" s="5" t="str">
        <f t="shared" ca="1" si="6"/>
        <v>1-30 Days</v>
      </c>
      <c r="K97" s="5" t="str">
        <f t="shared" si="7"/>
        <v>paid</v>
      </c>
    </row>
    <row r="98" spans="1:11" x14ac:dyDescent="0.25">
      <c r="A98" s="5" t="s">
        <v>125</v>
      </c>
      <c r="B98" s="5" t="s">
        <v>14</v>
      </c>
      <c r="C98" s="6">
        <v>45728</v>
      </c>
      <c r="D98" s="6">
        <v>45749</v>
      </c>
      <c r="E98" s="6">
        <v>45748</v>
      </c>
      <c r="F98" s="7">
        <v>3250000</v>
      </c>
      <c r="G98" s="7">
        <v>3250000</v>
      </c>
      <c r="H98" s="7">
        <f t="shared" si="4"/>
        <v>0</v>
      </c>
      <c r="I98" s="5">
        <f t="shared" ca="1" si="5"/>
        <v>0</v>
      </c>
      <c r="J98" s="5" t="str">
        <f t="shared" ca="1" si="6"/>
        <v>Current</v>
      </c>
      <c r="K98" s="5" t="str">
        <f t="shared" si="7"/>
        <v>paid</v>
      </c>
    </row>
    <row r="99" spans="1:11" x14ac:dyDescent="0.25">
      <c r="A99" s="5" t="s">
        <v>126</v>
      </c>
      <c r="B99" s="5" t="s">
        <v>42</v>
      </c>
      <c r="C99" s="6">
        <v>45690</v>
      </c>
      <c r="D99" s="6">
        <v>45720</v>
      </c>
      <c r="E99" s="6">
        <v>45739</v>
      </c>
      <c r="F99" s="7">
        <v>6750000</v>
      </c>
      <c r="G99" s="7">
        <v>6750000</v>
      </c>
      <c r="H99" s="7">
        <f t="shared" si="4"/>
        <v>0</v>
      </c>
      <c r="I99" s="5">
        <f t="shared" ca="1" si="5"/>
        <v>19</v>
      </c>
      <c r="J99" s="5" t="str">
        <f t="shared" ca="1" si="6"/>
        <v>1-30 Days</v>
      </c>
      <c r="K99" s="5" t="str">
        <f t="shared" si="7"/>
        <v>paid</v>
      </c>
    </row>
    <row r="100" spans="1:11" x14ac:dyDescent="0.25">
      <c r="A100" s="5" t="s">
        <v>127</v>
      </c>
      <c r="B100" s="5" t="s">
        <v>100</v>
      </c>
      <c r="C100" s="6">
        <v>45689</v>
      </c>
      <c r="D100" s="6">
        <v>45710</v>
      </c>
      <c r="E100" s="6">
        <v>45749</v>
      </c>
      <c r="F100" s="7">
        <v>6750000</v>
      </c>
      <c r="G100" s="7">
        <v>6750000</v>
      </c>
      <c r="H100" s="7">
        <f t="shared" si="4"/>
        <v>0</v>
      </c>
      <c r="I100" s="5">
        <f t="shared" ca="1" si="5"/>
        <v>39</v>
      </c>
      <c r="J100" s="5" t="str">
        <f t="shared" ca="1" si="6"/>
        <v>31-60 Days</v>
      </c>
      <c r="K100" s="5" t="str">
        <f t="shared" si="7"/>
        <v>paid</v>
      </c>
    </row>
    <row r="101" spans="1:11" x14ac:dyDescent="0.25">
      <c r="A101" s="5" t="s">
        <v>128</v>
      </c>
      <c r="B101" s="5" t="s">
        <v>48</v>
      </c>
      <c r="C101" s="6">
        <v>45952</v>
      </c>
      <c r="D101" s="6">
        <v>45982</v>
      </c>
      <c r="E101" s="6">
        <v>45994</v>
      </c>
      <c r="F101" s="7">
        <v>8250000</v>
      </c>
      <c r="G101" s="7">
        <v>8250000</v>
      </c>
      <c r="H101" s="7">
        <f t="shared" si="4"/>
        <v>0</v>
      </c>
      <c r="I101" s="5">
        <f t="shared" ca="1" si="5"/>
        <v>12</v>
      </c>
      <c r="J101" s="5" t="str">
        <f t="shared" ca="1" si="6"/>
        <v>1-30 Days</v>
      </c>
      <c r="K101" s="5" t="str">
        <f t="shared" si="7"/>
        <v>paid</v>
      </c>
    </row>
    <row r="128" spans="3:12" x14ac:dyDescent="0.25">
      <c r="C128" s="10"/>
      <c r="D128" s="10"/>
      <c r="F128" s="11"/>
      <c r="G128" s="11"/>
      <c r="H128" s="12"/>
      <c r="I128" s="12"/>
      <c r="L128" s="10"/>
    </row>
    <row r="129" spans="3:12" x14ac:dyDescent="0.25">
      <c r="C129" s="10"/>
      <c r="D129" s="10"/>
      <c r="F129" s="11"/>
      <c r="G129" s="11"/>
      <c r="H129" s="12"/>
      <c r="I129" s="12"/>
      <c r="L129" s="10"/>
    </row>
    <row r="130" spans="3:12" x14ac:dyDescent="0.25">
      <c r="C130" s="10"/>
      <c r="D130" s="10"/>
      <c r="F130" s="11"/>
      <c r="G130" s="11"/>
      <c r="H130" s="12"/>
      <c r="I130" s="12"/>
      <c r="L130" s="1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>
      <selection activeCell="I7" sqref="I7"/>
    </sheetView>
  </sheetViews>
  <sheetFormatPr defaultRowHeight="15" x14ac:dyDescent="0.25"/>
  <sheetData>
    <row r="1" spans="1:1" x14ac:dyDescent="0.25">
      <c r="A1" t="s">
        <v>129</v>
      </c>
    </row>
    <row r="3" spans="1:1" x14ac:dyDescent="0.25">
      <c r="A3" t="s">
        <v>130</v>
      </c>
    </row>
    <row r="4" spans="1:1" x14ac:dyDescent="0.25">
      <c r="A4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134</v>
      </c>
    </row>
    <row r="9" spans="1:1" x14ac:dyDescent="0.25">
      <c r="A9" t="s">
        <v>135</v>
      </c>
    </row>
    <row r="10" spans="1:1" x14ac:dyDescent="0.25">
      <c r="A10" t="s">
        <v>136</v>
      </c>
    </row>
    <row r="11" spans="1:1" x14ac:dyDescent="0.25">
      <c r="A11" t="s">
        <v>137</v>
      </c>
    </row>
    <row r="12" spans="1:1" x14ac:dyDescent="0.25">
      <c r="A12" t="s">
        <v>138</v>
      </c>
    </row>
    <row r="14" spans="1:1" x14ac:dyDescent="0.25">
      <c r="A14" t="s">
        <v>139</v>
      </c>
    </row>
    <row r="15" spans="1:1" x14ac:dyDescent="0.25">
      <c r="A15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2"/>
  <sheetViews>
    <sheetView topLeftCell="A2" workbookViewId="0">
      <selection activeCell="L4" sqref="L4"/>
    </sheetView>
  </sheetViews>
  <sheetFormatPr defaultRowHeight="15" x14ac:dyDescent="0.25"/>
  <cols>
    <col min="1" max="1" width="19.5703125" bestFit="1" customWidth="1"/>
    <col min="2" max="4" width="18.7109375" bestFit="1" customWidth="1"/>
  </cols>
  <sheetData>
    <row r="3" spans="1:2" x14ac:dyDescent="0.25">
      <c r="A3" s="8" t="s">
        <v>141</v>
      </c>
      <c r="B3" t="s">
        <v>143</v>
      </c>
    </row>
    <row r="4" spans="1:2" x14ac:dyDescent="0.25">
      <c r="A4" s="9" t="s">
        <v>44</v>
      </c>
      <c r="B4" s="2">
        <v>31000000</v>
      </c>
    </row>
    <row r="5" spans="1:2" x14ac:dyDescent="0.25">
      <c r="A5" s="9" t="s">
        <v>71</v>
      </c>
      <c r="B5" s="2">
        <v>4347000</v>
      </c>
    </row>
    <row r="6" spans="1:2" x14ac:dyDescent="0.25">
      <c r="A6" s="9" t="s">
        <v>42</v>
      </c>
      <c r="B6" s="2">
        <v>0</v>
      </c>
    </row>
    <row r="7" spans="1:2" x14ac:dyDescent="0.25">
      <c r="A7" s="9" t="s">
        <v>27</v>
      </c>
      <c r="B7" s="2">
        <v>5568000</v>
      </c>
    </row>
    <row r="8" spans="1:2" x14ac:dyDescent="0.25">
      <c r="A8" s="9" t="s">
        <v>40</v>
      </c>
      <c r="B8" s="2">
        <v>8218000</v>
      </c>
    </row>
    <row r="9" spans="1:2" x14ac:dyDescent="0.25">
      <c r="A9" s="9" t="s">
        <v>20</v>
      </c>
      <c r="B9" s="2">
        <v>27623000</v>
      </c>
    </row>
    <row r="10" spans="1:2" x14ac:dyDescent="0.25">
      <c r="A10" s="9" t="s">
        <v>16</v>
      </c>
      <c r="B10" s="2">
        <v>14685000</v>
      </c>
    </row>
    <row r="11" spans="1:2" x14ac:dyDescent="0.25">
      <c r="A11" s="9" t="s">
        <v>38</v>
      </c>
      <c r="B11" s="2">
        <v>6750000</v>
      </c>
    </row>
    <row r="12" spans="1:2" x14ac:dyDescent="0.25">
      <c r="A12" s="9" t="s">
        <v>35</v>
      </c>
      <c r="B12" s="2">
        <v>27362000</v>
      </c>
    </row>
    <row r="13" spans="1:2" x14ac:dyDescent="0.25">
      <c r="A13" s="9" t="s">
        <v>14</v>
      </c>
      <c r="B13" s="2">
        <v>2535000</v>
      </c>
    </row>
    <row r="14" spans="1:2" x14ac:dyDescent="0.25">
      <c r="A14" s="9" t="s">
        <v>31</v>
      </c>
      <c r="B14" s="2">
        <v>16098000</v>
      </c>
    </row>
    <row r="15" spans="1:2" x14ac:dyDescent="0.25">
      <c r="A15" s="9" t="s">
        <v>48</v>
      </c>
      <c r="B15" s="2">
        <v>13783000</v>
      </c>
    </row>
    <row r="16" spans="1:2" x14ac:dyDescent="0.25">
      <c r="A16" s="9" t="s">
        <v>100</v>
      </c>
      <c r="B16" s="2">
        <v>2215000</v>
      </c>
    </row>
    <row r="17" spans="1:2" x14ac:dyDescent="0.25">
      <c r="A17" s="9" t="s">
        <v>18</v>
      </c>
      <c r="B17" s="2">
        <v>2849000</v>
      </c>
    </row>
    <row r="18" spans="1:2" x14ac:dyDescent="0.25">
      <c r="A18" s="9" t="s">
        <v>24</v>
      </c>
      <c r="B18" s="2">
        <v>7239000</v>
      </c>
    </row>
    <row r="19" spans="1:2" x14ac:dyDescent="0.25">
      <c r="A19" s="9" t="s">
        <v>22</v>
      </c>
      <c r="B19" s="2">
        <v>3431000</v>
      </c>
    </row>
    <row r="20" spans="1:2" x14ac:dyDescent="0.25">
      <c r="A20" s="9" t="s">
        <v>12</v>
      </c>
      <c r="B20" s="2">
        <v>9192000</v>
      </c>
    </row>
    <row r="21" spans="1:2" x14ac:dyDescent="0.25">
      <c r="A21" s="9" t="s">
        <v>61</v>
      </c>
      <c r="B21" s="2">
        <v>18500000</v>
      </c>
    </row>
    <row r="22" spans="1:2" x14ac:dyDescent="0.25">
      <c r="A22" s="9" t="s">
        <v>142</v>
      </c>
      <c r="B22" s="2">
        <v>201395000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18.7109375" bestFit="1" customWidth="1"/>
  </cols>
  <sheetData>
    <row r="3" spans="1:2" x14ac:dyDescent="0.25">
      <c r="A3" s="8" t="s">
        <v>141</v>
      </c>
      <c r="B3" t="s">
        <v>143</v>
      </c>
    </row>
    <row r="4" spans="1:2" x14ac:dyDescent="0.25">
      <c r="A4" s="9" t="s">
        <v>144</v>
      </c>
      <c r="B4" s="2">
        <v>142250000</v>
      </c>
    </row>
    <row r="5" spans="1:2" x14ac:dyDescent="0.25">
      <c r="A5" s="9" t="s">
        <v>145</v>
      </c>
      <c r="B5" s="2">
        <v>21482000</v>
      </c>
    </row>
    <row r="6" spans="1:2" x14ac:dyDescent="0.25">
      <c r="A6" s="9" t="s">
        <v>146</v>
      </c>
      <c r="B6" s="2">
        <v>21811000</v>
      </c>
    </row>
    <row r="7" spans="1:2" x14ac:dyDescent="0.25">
      <c r="A7" s="9" t="s">
        <v>147</v>
      </c>
      <c r="B7" s="2">
        <v>15852000</v>
      </c>
    </row>
    <row r="8" spans="1:2" x14ac:dyDescent="0.25">
      <c r="A8" s="9" t="s">
        <v>142</v>
      </c>
      <c r="B8" s="2">
        <v>201395000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sqref="A1:C1"/>
    </sheetView>
  </sheetViews>
  <sheetFormatPr defaultRowHeight="15" x14ac:dyDescent="0.25"/>
  <cols>
    <col min="1" max="1" width="20" customWidth="1"/>
    <col min="2" max="2" width="13.5703125" bestFit="1" customWidth="1"/>
  </cols>
  <sheetData>
    <row r="1" spans="1:3" x14ac:dyDescent="0.25">
      <c r="A1" s="14" t="s">
        <v>154</v>
      </c>
      <c r="B1" s="14"/>
      <c r="C1" s="14"/>
    </row>
    <row r="3" spans="1:3" x14ac:dyDescent="0.25">
      <c r="A3" s="5" t="s">
        <v>152</v>
      </c>
      <c r="B3" s="5" t="s">
        <v>153</v>
      </c>
    </row>
    <row r="4" spans="1:3" x14ac:dyDescent="0.25">
      <c r="A4" s="5" t="s">
        <v>149</v>
      </c>
      <c r="B4" s="7">
        <f>SUM('AR Data'!F2:F101)</f>
        <v>702000000</v>
      </c>
    </row>
    <row r="5" spans="1:3" x14ac:dyDescent="0.25">
      <c r="A5" s="5" t="s">
        <v>148</v>
      </c>
      <c r="B5" s="7">
        <f>SUM('AR Data'!H2:H101)</f>
        <v>201395000</v>
      </c>
    </row>
    <row r="6" spans="1:3" x14ac:dyDescent="0.25">
      <c r="A6" s="5" t="s">
        <v>150</v>
      </c>
      <c r="B6" s="7">
        <f ca="1">SUMIF('AR Data'!I2:I101,"&gt;0",'AR Data'!H2:H101)</f>
        <v>185543000</v>
      </c>
    </row>
    <row r="7" spans="1:3" x14ac:dyDescent="0.25">
      <c r="A7" s="5" t="s">
        <v>151</v>
      </c>
      <c r="B7" s="13">
        <f>SUM('AR Data'!G2:G101)/SUM('AR Data'!F2:F101)</f>
        <v>0.71311253561253563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 Data</vt:lpstr>
      <vt:lpstr>Project Guide</vt:lpstr>
      <vt:lpstr>Pivot Customer Analysis</vt:lpstr>
      <vt:lpstr>Aging Analysis</vt:lpstr>
      <vt:lpstr>Dashboard</vt:lpstr>
      <vt:lpstr>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sopi otw kerja finance</dc:creator>
  <cp:lastModifiedBy>Windows User</cp:lastModifiedBy>
  <dcterms:created xsi:type="dcterms:W3CDTF">2026-09-09T01:06:08Z</dcterms:created>
  <dcterms:modified xsi:type="dcterms:W3CDTF">2026-09-23T07:20:09Z</dcterms:modified>
</cp:coreProperties>
</file>