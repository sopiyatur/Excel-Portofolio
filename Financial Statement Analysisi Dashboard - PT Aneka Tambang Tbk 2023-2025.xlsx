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rtofolio Kerja Finance\"/>
    </mc:Choice>
  </mc:AlternateContent>
  <bookViews>
    <workbookView xWindow="0" yWindow="0" windowWidth="20490" windowHeight="7650" activeTab="3"/>
  </bookViews>
  <sheets>
    <sheet name="Cover" sheetId="1" r:id="rId1"/>
    <sheet name="Financial Data" sheetId="2" r:id="rId2"/>
    <sheet name="Ratio Analysis" sheetId="3" r:id="rId3"/>
    <sheet name="Dashboard" sheetId="4" r:id="rId4"/>
    <sheet name="Financial Insigh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4" l="1"/>
  <c r="C20" i="4"/>
  <c r="C19" i="4"/>
  <c r="I15" i="4"/>
  <c r="I14" i="4"/>
  <c r="I13" i="4"/>
  <c r="F15" i="4"/>
  <c r="F14" i="4"/>
  <c r="F13" i="4"/>
  <c r="C15" i="4"/>
  <c r="C14" i="4"/>
  <c r="C13" i="4"/>
  <c r="I9" i="4"/>
  <c r="I8" i="4"/>
  <c r="I7" i="4"/>
  <c r="F9" i="4"/>
  <c r="F8" i="4"/>
  <c r="F7" i="4"/>
  <c r="C9" i="4"/>
  <c r="C8" i="4"/>
  <c r="C7" i="4"/>
  <c r="D9" i="3"/>
  <c r="E9" i="3"/>
  <c r="C9" i="3"/>
  <c r="D8" i="3"/>
  <c r="E8" i="3"/>
  <c r="C8" i="3"/>
  <c r="D7" i="3"/>
  <c r="E7" i="3"/>
  <c r="C7" i="3"/>
  <c r="D6" i="3"/>
  <c r="E6" i="3"/>
  <c r="C6" i="3"/>
  <c r="D5" i="3"/>
  <c r="E5" i="3"/>
  <c r="C5" i="3"/>
  <c r="D4" i="3"/>
  <c r="E4" i="3"/>
  <c r="C4" i="3"/>
  <c r="E3" i="3"/>
  <c r="D3" i="3"/>
  <c r="C3" i="3"/>
</calcChain>
</file>

<file path=xl/sharedStrings.xml><?xml version="1.0" encoding="utf-8"?>
<sst xmlns="http://schemas.openxmlformats.org/spreadsheetml/2006/main" count="40" uniqueCount="32">
  <si>
    <t>Financial Statement Analysis</t>
  </si>
  <si>
    <t>PT Aneka Tambang Tbk (ANTM)</t>
  </si>
  <si>
    <t>Periode 2023-2025</t>
  </si>
  <si>
    <t>Keterangan</t>
  </si>
  <si>
    <t>Total Aset</t>
  </si>
  <si>
    <t>Total Ekuitas</t>
  </si>
  <si>
    <t>Laba Bersih</t>
  </si>
  <si>
    <t>Rasio</t>
  </si>
  <si>
    <t>DER</t>
  </si>
  <si>
    <t>DAR</t>
  </si>
  <si>
    <t>DPR</t>
  </si>
  <si>
    <t>ROA</t>
  </si>
  <si>
    <t>ROE</t>
  </si>
  <si>
    <t>LDER</t>
  </si>
  <si>
    <t>Dividend Yield</t>
  </si>
  <si>
    <t>DPS</t>
  </si>
  <si>
    <t>EPS</t>
  </si>
  <si>
    <t>Harga Saham</t>
  </si>
  <si>
    <t>Total Liabilitas</t>
  </si>
  <si>
    <t>Liabilitas jangka panjang</t>
  </si>
  <si>
    <t>Disusun Oleh: Siti Sopiyatur Rohmah</t>
  </si>
  <si>
    <t>Financial Ratio Analysis Dashboard</t>
  </si>
  <si>
    <t>PT Aneka Tambang Tbk (2023-2025)</t>
  </si>
  <si>
    <t>Financial Insight</t>
  </si>
  <si>
    <t>Struktur Modal</t>
  </si>
  <si>
    <t xml:space="preserve">Profitabilitas </t>
  </si>
  <si>
    <t>ROA meningkat dari 7,18%  menjadi 13,72, sedangkan ROE meningkat dari 9,88% menjadi 19,70%. Hal ini menunjukkan kemampuan perusahaan menghasilkan laba semakin baik</t>
  </si>
  <si>
    <t>Kebijakan Dividen</t>
  </si>
  <si>
    <t>DPR Sebesar 100% selama periode 2023-2025 menunjukkan perusahaan konsisten membagikan seluruh laba yang ditetapkan sebagai dividen</t>
  </si>
  <si>
    <t>Kesimpulan</t>
  </si>
  <si>
    <t>Secara keseluruhan, kinerja keuangan PT Aneka Tambang Tbk menunjukkan tren positif selama periode 2023-2025</t>
  </si>
  <si>
    <t>DER meningkat dari 37,50% menjadi 43,53%. Hal ini menunjukkan penggunaan utang terhadap modal sendiri meningkat, namun masih dalam batas yang relatif sehat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</si>
</sst>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10" fontId="0" fillId="0" borderId="0" xfId="1" applyNumberFormat="1" applyFont="1" applyAlignment="1"/>
    <xf numFmtId="10" fontId="0" fillId="0" borderId="0" xfId="0" applyNumberFormat="1"/>
    <xf numFmtId="10" fontId="0" fillId="0" borderId="0" xfId="1" applyNumberFormat="1" applyFont="1"/>
    <xf numFmtId="10" fontId="0" fillId="0" borderId="0" xfId="0" applyNumberFormat="1" applyAlignment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/>
    <xf numFmtId="4" fontId="0" fillId="0" borderId="1" xfId="0" applyNumberFormat="1" applyBorder="1" applyAlignment="1">
      <alignment horizontal="right"/>
    </xf>
    <xf numFmtId="165" fontId="0" fillId="0" borderId="1" xfId="0" applyNumberFormat="1" applyBorder="1" applyAlignment="1"/>
    <xf numFmtId="165" fontId="0" fillId="0" borderId="1" xfId="0" applyNumberFormat="1" applyBorder="1"/>
    <xf numFmtId="164" fontId="0" fillId="0" borderId="1" xfId="0" applyNumberFormat="1" applyBorder="1" applyAlignment="1"/>
    <xf numFmtId="3" fontId="0" fillId="0" borderId="1" xfId="0" applyNumberFormat="1" applyBorder="1" applyAlignment="1"/>
    <xf numFmtId="3" fontId="0" fillId="0" borderId="1" xfId="0" applyNumberFormat="1" applyBorder="1"/>
    <xf numFmtId="10" fontId="0" fillId="0" borderId="1" xfId="0" applyNumberFormat="1" applyBorder="1" applyAlignment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NumberFormat="1" applyBorder="1" applyAlignment="1">
      <alignment horizontal="center"/>
    </xf>
    <xf numFmtId="164" fontId="0" fillId="0" borderId="0" xfId="0" applyNumberFormat="1" applyBorder="1"/>
    <xf numFmtId="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Trend</a:t>
            </a:r>
            <a:r>
              <a:rPr lang="id-ID" baseline="0"/>
              <a:t> DER 2023-2025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'Ratio Analysis'!$C$3:$E$3</c:f>
              <c:numCache>
                <c:formatCode>0.00%</c:formatCode>
                <c:ptCount val="3"/>
                <c:pt idx="0">
                  <c:v>0.37495292095437066</c:v>
                </c:pt>
                <c:pt idx="1">
                  <c:v>0.3827120350589186</c:v>
                </c:pt>
                <c:pt idx="2">
                  <c:v>0.43526141745234753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6-4244-ACA2-004F395897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0453968"/>
        <c:axId val="300451472"/>
      </c:lineChart>
      <c:catAx>
        <c:axId val="3004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0451472"/>
        <c:crosses val="autoZero"/>
        <c:auto val="1"/>
        <c:lblAlgn val="ctr"/>
        <c:lblOffset val="100"/>
        <c:noMultiLvlLbl val="0"/>
      </c:catAx>
      <c:valAx>
        <c:axId val="30045147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045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ROA dan</a:t>
            </a:r>
            <a:r>
              <a:rPr lang="id-ID" baseline="0"/>
              <a:t> ROE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Analysis'!$B$7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'Ratio Analysis'!$C$7:$E$7</c:f>
              <c:numCache>
                <c:formatCode>0.00%</c:formatCode>
                <c:ptCount val="3"/>
                <c:pt idx="0">
                  <c:v>7.1821576408983734E-2</c:v>
                </c:pt>
                <c:pt idx="1">
                  <c:v>8.1918079898658319E-2</c:v>
                </c:pt>
                <c:pt idx="2">
                  <c:v>0.13723155787285879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B-4AAE-AB10-9D0F8BC14F6A}"/>
            </c:ext>
          </c:extLst>
        </c:ser>
        <c:ser>
          <c:idx val="1"/>
          <c:order val="1"/>
          <c:tx>
            <c:strRef>
              <c:f>'Ratio Analysis'!$B$8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'Ratio Analysis'!$C$8:$E$8</c:f>
              <c:numCache>
                <c:formatCode>0.00%</c:formatCode>
                <c:ptCount val="3"/>
                <c:pt idx="0">
                  <c:v>9.8751286271079694E-2</c:v>
                </c:pt>
                <c:pt idx="1">
                  <c:v>0.11326911496479294</c:v>
                </c:pt>
                <c:pt idx="2">
                  <c:v>0.19696316027179317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B-4AAE-AB10-9D0F8BC14F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0449392"/>
        <c:axId val="300441072"/>
      </c:lineChart>
      <c:catAx>
        <c:axId val="30044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0441072"/>
        <c:crosses val="autoZero"/>
        <c:auto val="1"/>
        <c:lblAlgn val="ctr"/>
        <c:lblOffset val="100"/>
        <c:noMultiLvlLbl val="0"/>
      </c:catAx>
      <c:valAx>
        <c:axId val="30044107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044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Data'!$B$3</c:f>
              <c:strCache>
                <c:ptCount val="1"/>
                <c:pt idx="0">
                  <c:v>Total Aset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Data'!$C$2:$E$2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'Financial Data'!$C$3:$E$3</c:f>
              <c:numCache>
                <c:formatCode>#,##0.00</c:formatCode>
                <c:ptCount val="3"/>
                <c:pt idx="0" formatCode="#,##0.000">
                  <c:v>42851.328999999998</c:v>
                </c:pt>
                <c:pt idx="1">
                  <c:v>44522.65</c:v>
                </c:pt>
                <c:pt idx="2">
                  <c:v>52530.41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1-4CE5-BD1A-5B0FB7BA45BF}"/>
            </c:ext>
          </c:extLst>
        </c:ser>
        <c:ser>
          <c:idx val="1"/>
          <c:order val="1"/>
          <c:tx>
            <c:strRef>
              <c:f>'Financial Data'!$B$4</c:f>
              <c:strCache>
                <c:ptCount val="1"/>
                <c:pt idx="0">
                  <c:v>Total Liabilitas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Data'!$C$2:$E$2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'Financial Data'!$C$4:$E$4</c:f>
              <c:numCache>
                <c:formatCode>#,##0.00</c:formatCode>
                <c:ptCount val="3"/>
                <c:pt idx="0" formatCode="#,##0.000">
                  <c:v>11685.659</c:v>
                </c:pt>
                <c:pt idx="1">
                  <c:v>12323.14</c:v>
                </c:pt>
                <c:pt idx="2">
                  <c:v>15930.52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1-4CE5-BD1A-5B0FB7BA45BF}"/>
            </c:ext>
          </c:extLst>
        </c:ser>
        <c:ser>
          <c:idx val="2"/>
          <c:order val="2"/>
          <c:tx>
            <c:strRef>
              <c:f>'Financial Data'!$B$6</c:f>
              <c:strCache>
                <c:ptCount val="1"/>
                <c:pt idx="0">
                  <c:v>Total Ekuitas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Data'!$C$2:$E$2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'Financial Data'!$C$6:$E$6</c:f>
              <c:numCache>
                <c:formatCode>#,##0.00</c:formatCode>
                <c:ptCount val="3"/>
                <c:pt idx="0">
                  <c:v>31165.67</c:v>
                </c:pt>
                <c:pt idx="1">
                  <c:v>32199.51</c:v>
                </c:pt>
                <c:pt idx="2">
                  <c:v>36599.89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11-4CE5-BD1A-5B0FB7BA45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6472640"/>
        <c:axId val="356486784"/>
      </c:barChart>
      <c:catAx>
        <c:axId val="3564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6486784"/>
        <c:crosses val="autoZero"/>
        <c:auto val="1"/>
        <c:lblAlgn val="ctr"/>
        <c:lblOffset val="100"/>
        <c:noMultiLvlLbl val="0"/>
      </c:catAx>
      <c:valAx>
        <c:axId val="356486784"/>
        <c:scaling>
          <c:orientation val="minMax"/>
        </c:scaling>
        <c:delete val="0"/>
        <c:axPos val="l"/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64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Analysis'!$B$9</c:f>
              <c:strCache>
                <c:ptCount val="1"/>
                <c:pt idx="0">
                  <c:v>Dividend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Analysis'!$C$2:$E$2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'Ratio Analysis'!$C$9:$E$9</c:f>
              <c:numCache>
                <c:formatCode>0.00%</c:formatCode>
                <c:ptCount val="3"/>
                <c:pt idx="0">
                  <c:v>8.2626580645161291E-2</c:v>
                </c:pt>
                <c:pt idx="1">
                  <c:v>4.8179492063492063E-2</c:v>
                </c:pt>
                <c:pt idx="2">
                  <c:v>9.5231746031746042E-2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6-4B11-A61A-9A2D6934A1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9207504"/>
        <c:axId val="419206256"/>
      </c:lineChart>
      <c:catAx>
        <c:axId val="4192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9206256"/>
        <c:crosses val="autoZero"/>
        <c:auto val="1"/>
        <c:lblAlgn val="ctr"/>
        <c:lblOffset val="100"/>
        <c:noMultiLvlLbl val="0"/>
      </c:catAx>
      <c:valAx>
        <c:axId val="4192062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920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3</xdr:row>
      <xdr:rowOff>152399</xdr:rowOff>
    </xdr:from>
    <xdr:to>
      <xdr:col>14</xdr:col>
      <xdr:colOff>590550</xdr:colOff>
      <xdr:row>12</xdr:row>
      <xdr:rowOff>171448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3</xdr:row>
      <xdr:rowOff>161925</xdr:rowOff>
    </xdr:from>
    <xdr:to>
      <xdr:col>20</xdr:col>
      <xdr:colOff>276225</xdr:colOff>
      <xdr:row>13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114301</xdr:colOff>
      <xdr:row>13</xdr:row>
      <xdr:rowOff>190499</xdr:rowOff>
    </xdr:from>
    <xdr:to>
      <xdr:col>14</xdr:col>
      <xdr:colOff>600075</xdr:colOff>
      <xdr:row>23</xdr:row>
      <xdr:rowOff>28574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561975</xdr:colOff>
      <xdr:row>13</xdr:row>
      <xdr:rowOff>161925</xdr:rowOff>
    </xdr:from>
    <xdr:to>
      <xdr:col>20</xdr:col>
      <xdr:colOff>266700</xdr:colOff>
      <xdr:row>23</xdr:row>
      <xdr:rowOff>114299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workbookViewId="0">
      <selection activeCell="B9" sqref="B9"/>
    </sheetView>
  </sheetViews>
  <sheetFormatPr defaultRowHeight="15" x14ac:dyDescent="0.25"/>
  <cols>
    <col min="1" max="1" width="10.5703125" customWidth="1"/>
    <col min="3" max="3" width="9.140625" customWidth="1"/>
    <col min="4" max="4" width="11.140625" customWidth="1"/>
  </cols>
  <sheetData>
    <row r="2" spans="2:4" x14ac:dyDescent="0.25">
      <c r="B2" s="29" t="s">
        <v>0</v>
      </c>
      <c r="C2" s="29"/>
      <c r="D2" s="29"/>
    </row>
    <row r="3" spans="2:4" x14ac:dyDescent="0.25">
      <c r="B3" s="28" t="s">
        <v>1</v>
      </c>
      <c r="C3" s="28"/>
      <c r="D3" s="28"/>
    </row>
    <row r="4" spans="2:4" ht="15" customHeight="1" x14ac:dyDescent="0.25">
      <c r="B4" s="29" t="s">
        <v>2</v>
      </c>
      <c r="C4" s="29"/>
      <c r="D4" s="29"/>
    </row>
    <row r="5" spans="2:4" x14ac:dyDescent="0.25">
      <c r="B5" s="30" t="s">
        <v>20</v>
      </c>
      <c r="C5" s="30"/>
      <c r="D5" s="30"/>
    </row>
    <row r="6" spans="2:4" x14ac:dyDescent="0.25">
      <c r="B6" s="30"/>
      <c r="C6" s="30"/>
      <c r="D6" s="30"/>
    </row>
  </sheetData>
  <mergeCells count="4">
    <mergeCell ref="B3:D3"/>
    <mergeCell ref="B4:D4"/>
    <mergeCell ref="B5:D6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D17" sqref="D17"/>
    </sheetView>
  </sheetViews>
  <sheetFormatPr defaultRowHeight="15" x14ac:dyDescent="0.25"/>
  <cols>
    <col min="2" max="2" width="22.5703125" customWidth="1"/>
    <col min="3" max="3" width="15.140625" customWidth="1"/>
    <col min="4" max="4" width="14.28515625" customWidth="1"/>
    <col min="5" max="5" width="12.5703125" customWidth="1"/>
    <col min="8" max="8" width="16" customWidth="1"/>
    <col min="9" max="9" width="15.7109375" customWidth="1"/>
    <col min="10" max="10" width="12.140625" bestFit="1" customWidth="1"/>
  </cols>
  <sheetData>
    <row r="2" spans="2:11" x14ac:dyDescent="0.25">
      <c r="B2" s="33" t="s">
        <v>3</v>
      </c>
      <c r="C2" s="33">
        <v>2023</v>
      </c>
      <c r="D2" s="33">
        <v>2024</v>
      </c>
      <c r="E2" s="33">
        <v>2025</v>
      </c>
      <c r="H2" s="2"/>
      <c r="I2" s="2"/>
    </row>
    <row r="3" spans="2:11" x14ac:dyDescent="0.25">
      <c r="B3" s="7" t="s">
        <v>4</v>
      </c>
      <c r="C3" s="8">
        <v>42851.328999999998</v>
      </c>
      <c r="D3" s="9">
        <v>44522.65</v>
      </c>
      <c r="E3" s="9">
        <v>52530.41</v>
      </c>
      <c r="H3" s="2"/>
      <c r="I3" s="3"/>
      <c r="J3" s="4"/>
      <c r="K3" s="5"/>
    </row>
    <row r="4" spans="2:11" x14ac:dyDescent="0.25">
      <c r="B4" s="7" t="s">
        <v>18</v>
      </c>
      <c r="C4" s="8">
        <v>11685.659</v>
      </c>
      <c r="D4" s="9">
        <v>12323.14</v>
      </c>
      <c r="E4" s="9">
        <v>15930.52</v>
      </c>
      <c r="H4" s="2"/>
      <c r="I4" s="6"/>
      <c r="J4" s="4"/>
      <c r="K4" s="4"/>
    </row>
    <row r="5" spans="2:11" x14ac:dyDescent="0.25">
      <c r="B5" s="10" t="s">
        <v>19</v>
      </c>
      <c r="C5" s="8">
        <v>3109.22</v>
      </c>
      <c r="D5" s="9">
        <v>2552.2399999999998</v>
      </c>
      <c r="E5" s="9">
        <v>6247.58</v>
      </c>
      <c r="H5" s="20"/>
      <c r="I5" s="20"/>
      <c r="J5" s="20"/>
      <c r="K5" s="20"/>
    </row>
    <row r="6" spans="2:11" x14ac:dyDescent="0.25">
      <c r="B6" s="7" t="s">
        <v>5</v>
      </c>
      <c r="C6" s="9">
        <v>31165.67</v>
      </c>
      <c r="D6" s="9">
        <v>32199.51</v>
      </c>
      <c r="E6" s="9">
        <v>36599.89</v>
      </c>
      <c r="H6" s="20"/>
      <c r="I6" s="22"/>
      <c r="J6" s="23"/>
      <c r="K6" s="23"/>
    </row>
    <row r="7" spans="2:11" x14ac:dyDescent="0.25">
      <c r="B7" s="7" t="s">
        <v>6</v>
      </c>
      <c r="C7" s="11">
        <v>3077.65</v>
      </c>
      <c r="D7" s="11">
        <v>3647.21</v>
      </c>
      <c r="E7" s="9">
        <v>7208.83</v>
      </c>
      <c r="H7" s="20"/>
      <c r="I7" s="22"/>
      <c r="J7" s="23"/>
      <c r="K7" s="23"/>
    </row>
    <row r="8" spans="2:11" x14ac:dyDescent="0.25">
      <c r="B8" s="10" t="s">
        <v>15</v>
      </c>
      <c r="C8" s="12">
        <v>128.0712</v>
      </c>
      <c r="D8" s="13">
        <v>151.7654</v>
      </c>
      <c r="E8" s="9">
        <v>299.98</v>
      </c>
      <c r="H8" s="20"/>
      <c r="I8" s="23"/>
      <c r="J8" s="23"/>
      <c r="K8" s="23"/>
    </row>
    <row r="9" spans="2:11" x14ac:dyDescent="0.25">
      <c r="B9" s="10" t="s">
        <v>16</v>
      </c>
      <c r="C9" s="14">
        <v>128.07</v>
      </c>
      <c r="D9" s="9">
        <v>151.7654</v>
      </c>
      <c r="E9" s="13">
        <v>299.98050000000001</v>
      </c>
      <c r="H9" s="2"/>
      <c r="I9" s="6"/>
      <c r="J9" s="4"/>
      <c r="K9" s="4"/>
    </row>
    <row r="10" spans="2:11" x14ac:dyDescent="0.25">
      <c r="B10" s="10" t="s">
        <v>17</v>
      </c>
      <c r="C10" s="15">
        <v>1550</v>
      </c>
      <c r="D10" s="16">
        <v>3150</v>
      </c>
      <c r="E10" s="16">
        <v>3150</v>
      </c>
    </row>
    <row r="11" spans="2:11" x14ac:dyDescent="0.25">
      <c r="B11" s="2"/>
      <c r="C11" s="2"/>
    </row>
    <row r="12" spans="2:11" x14ac:dyDescent="0.25">
      <c r="B12" s="2"/>
      <c r="C12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B2" sqref="B2:E2"/>
    </sheetView>
  </sheetViews>
  <sheetFormatPr defaultRowHeight="15" x14ac:dyDescent="0.25"/>
  <cols>
    <col min="2" max="2" width="13.42578125" customWidth="1"/>
    <col min="3" max="3" width="13.28515625" customWidth="1"/>
    <col min="4" max="4" width="12" customWidth="1"/>
    <col min="5" max="5" width="9.140625" customWidth="1"/>
    <col min="9" max="9" width="9.140625" customWidth="1"/>
    <col min="11" max="11" width="9.140625" customWidth="1"/>
  </cols>
  <sheetData>
    <row r="2" spans="2:5" x14ac:dyDescent="0.25">
      <c r="B2" s="34" t="s">
        <v>7</v>
      </c>
      <c r="C2" s="34">
        <v>2023</v>
      </c>
      <c r="D2" s="33">
        <v>2024</v>
      </c>
      <c r="E2" s="33">
        <v>2025</v>
      </c>
    </row>
    <row r="3" spans="2:5" x14ac:dyDescent="0.25">
      <c r="B3" s="10" t="s">
        <v>8</v>
      </c>
      <c r="C3" s="17">
        <f>'Financial Data'!C4/'Financial Data'!C6</f>
        <v>0.37495292095437066</v>
      </c>
      <c r="D3" s="18">
        <f>'Financial Data'!D4/'Financial Data'!D6</f>
        <v>0.3827120350589186</v>
      </c>
      <c r="E3" s="18">
        <f>'Financial Data'!E4/'Financial Data'!E6</f>
        <v>0.43526141745234753</v>
      </c>
    </row>
    <row r="4" spans="2:5" x14ac:dyDescent="0.25">
      <c r="B4" s="10" t="s">
        <v>9</v>
      </c>
      <c r="C4" s="17">
        <f>'Financial Data'!C4/'Financial Data'!C3</f>
        <v>0.27270237056124913</v>
      </c>
      <c r="D4" s="17">
        <f>'Financial Data'!D4/'Financial Data'!D3</f>
        <v>0.27678361463210294</v>
      </c>
      <c r="E4" s="17">
        <f>'Financial Data'!E4/'Financial Data'!E3</f>
        <v>0.30326281481526601</v>
      </c>
    </row>
    <row r="5" spans="2:5" x14ac:dyDescent="0.25">
      <c r="B5" s="10" t="s">
        <v>13</v>
      </c>
      <c r="C5" s="17">
        <f>'Financial Data'!C5/'Financial Data'!C6</f>
        <v>9.9764259841036623E-2</v>
      </c>
      <c r="D5" s="17">
        <f>'Financial Data'!D5/'Financial Data'!D6</f>
        <v>7.9263317982168055E-2</v>
      </c>
      <c r="E5" s="17">
        <f>'Financial Data'!E5/'Financial Data'!E6</f>
        <v>0.17069942013486925</v>
      </c>
    </row>
    <row r="6" spans="2:5" x14ac:dyDescent="0.25">
      <c r="B6" s="10" t="s">
        <v>10</v>
      </c>
      <c r="C6" s="17">
        <f>'Financial Data'!C8/'Financial Data'!C9</f>
        <v>1.0000093698758492</v>
      </c>
      <c r="D6" s="17">
        <f>'Financial Data'!D8/'Financial Data'!D9</f>
        <v>1</v>
      </c>
      <c r="E6" s="17">
        <f>'Financial Data'!E8/'Financial Data'!E9</f>
        <v>0.99999833322499299</v>
      </c>
    </row>
    <row r="7" spans="2:5" x14ac:dyDescent="0.25">
      <c r="B7" s="10" t="s">
        <v>11</v>
      </c>
      <c r="C7" s="17">
        <f>'Financial Data'!C7/'Financial Data'!C3</f>
        <v>7.1821576408983734E-2</v>
      </c>
      <c r="D7" s="17">
        <f>'Financial Data'!D7/'Financial Data'!D3</f>
        <v>8.1918079898658319E-2</v>
      </c>
      <c r="E7" s="17">
        <f>'Financial Data'!E7/'Financial Data'!E3</f>
        <v>0.13723155787285879</v>
      </c>
    </row>
    <row r="8" spans="2:5" x14ac:dyDescent="0.25">
      <c r="B8" s="10" t="s">
        <v>12</v>
      </c>
      <c r="C8" s="17">
        <f>'Financial Data'!C7/'Financial Data'!C6</f>
        <v>9.8751286271079694E-2</v>
      </c>
      <c r="D8" s="17">
        <f>'Financial Data'!D7/'Financial Data'!D6</f>
        <v>0.11326911496479294</v>
      </c>
      <c r="E8" s="17">
        <f>'Financial Data'!E7/'Financial Data'!E6</f>
        <v>0.19696316027179317</v>
      </c>
    </row>
    <row r="9" spans="2:5" x14ac:dyDescent="0.25">
      <c r="B9" s="10" t="s">
        <v>14</v>
      </c>
      <c r="C9" s="17">
        <f>'Financial Data'!C8/'Financial Data'!C10</f>
        <v>8.2626580645161291E-2</v>
      </c>
      <c r="D9" s="17">
        <f>'Financial Data'!D8/'Financial Data'!D10</f>
        <v>4.8179492063492063E-2</v>
      </c>
      <c r="E9" s="17">
        <f>'Financial Data'!E8/'Financial Data'!E10</f>
        <v>9.5231746031746042E-2</v>
      </c>
    </row>
    <row r="10" spans="2:5" x14ac:dyDescent="0.25">
      <c r="B10" s="29"/>
      <c r="C10" s="29"/>
    </row>
    <row r="11" spans="2:5" x14ac:dyDescent="0.25">
      <c r="B11" s="1"/>
      <c r="C11" s="1"/>
    </row>
  </sheetData>
  <mergeCells count="1">
    <mergeCell ref="B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tabSelected="1" workbookViewId="0">
      <selection activeCell="B18" sqref="B18:C18"/>
    </sheetView>
  </sheetViews>
  <sheetFormatPr defaultRowHeight="15" x14ac:dyDescent="0.25"/>
  <cols>
    <col min="2" max="2" width="9.140625" customWidth="1"/>
  </cols>
  <sheetData>
    <row r="2" spans="2:11" x14ac:dyDescent="0.25">
      <c r="B2" t="s">
        <v>21</v>
      </c>
    </row>
    <row r="3" spans="2:11" x14ac:dyDescent="0.25">
      <c r="B3" t="s">
        <v>22</v>
      </c>
    </row>
    <row r="6" spans="2:11" x14ac:dyDescent="0.25">
      <c r="B6" s="35" t="s">
        <v>8</v>
      </c>
      <c r="C6" s="36"/>
      <c r="E6" s="35" t="s">
        <v>9</v>
      </c>
      <c r="F6" s="36"/>
      <c r="H6" s="35" t="s">
        <v>13</v>
      </c>
      <c r="I6" s="36"/>
    </row>
    <row r="7" spans="2:11" x14ac:dyDescent="0.25">
      <c r="B7" s="21">
        <v>2023</v>
      </c>
      <c r="C7" s="18">
        <f>'Ratio Analysis'!C3</f>
        <v>0.37495292095437066</v>
      </c>
      <c r="E7" s="19">
        <v>2023</v>
      </c>
      <c r="F7" s="18">
        <f>'Ratio Analysis'!C4</f>
        <v>0.27270237056124913</v>
      </c>
      <c r="H7" s="19">
        <v>2023</v>
      </c>
      <c r="I7" s="18">
        <f>'Ratio Analysis'!C5</f>
        <v>9.9764259841036623E-2</v>
      </c>
    </row>
    <row r="8" spans="2:11" x14ac:dyDescent="0.25">
      <c r="B8" s="21">
        <v>2024</v>
      </c>
      <c r="C8" s="18">
        <f>'Ratio Analysis'!D3</f>
        <v>0.3827120350589186</v>
      </c>
      <c r="E8" s="19">
        <v>2024</v>
      </c>
      <c r="F8" s="18">
        <f>'Ratio Analysis'!D4</f>
        <v>0.27678361463210294</v>
      </c>
      <c r="H8" s="19">
        <v>2024</v>
      </c>
      <c r="I8" s="18">
        <f>'Ratio Analysis'!D5</f>
        <v>7.9263317982168055E-2</v>
      </c>
    </row>
    <row r="9" spans="2:11" x14ac:dyDescent="0.25">
      <c r="B9" s="21">
        <v>2025</v>
      </c>
      <c r="C9" s="18">
        <f>'Ratio Analysis'!E3</f>
        <v>0.43526141745234753</v>
      </c>
      <c r="E9" s="19">
        <v>2025</v>
      </c>
      <c r="F9" s="17">
        <f>'Ratio Analysis'!E4</f>
        <v>0.30326281481526601</v>
      </c>
      <c r="H9" s="19">
        <v>2025</v>
      </c>
      <c r="I9" s="18">
        <f>'Ratio Analysis'!E5</f>
        <v>0.17069942013486925</v>
      </c>
    </row>
    <row r="12" spans="2:11" x14ac:dyDescent="0.25">
      <c r="B12" s="35" t="s">
        <v>11</v>
      </c>
      <c r="C12" s="36"/>
      <c r="E12" s="35" t="s">
        <v>12</v>
      </c>
      <c r="F12" s="36"/>
      <c r="H12" s="35" t="s">
        <v>10</v>
      </c>
      <c r="I12" s="36"/>
      <c r="K12" s="20"/>
    </row>
    <row r="13" spans="2:11" x14ac:dyDescent="0.25">
      <c r="B13" s="19">
        <v>2023</v>
      </c>
      <c r="C13" s="18">
        <f>'Ratio Analysis'!C7</f>
        <v>7.1821576408983734E-2</v>
      </c>
      <c r="E13" s="19">
        <v>2023</v>
      </c>
      <c r="F13" s="18">
        <f>'Ratio Analysis'!C8</f>
        <v>9.8751286271079694E-2</v>
      </c>
      <c r="H13" s="19">
        <v>2023</v>
      </c>
      <c r="I13" s="18">
        <f>'Ratio Analysis'!C6</f>
        <v>1.0000093698758492</v>
      </c>
      <c r="K13" s="20"/>
    </row>
    <row r="14" spans="2:11" x14ac:dyDescent="0.25">
      <c r="B14" s="19">
        <v>2024</v>
      </c>
      <c r="C14" s="18">
        <f>'Ratio Analysis'!D7</f>
        <v>8.1918079898658319E-2</v>
      </c>
      <c r="E14" s="19">
        <v>2024</v>
      </c>
      <c r="F14" s="18">
        <f>'Ratio Analysis'!D8</f>
        <v>0.11326911496479294</v>
      </c>
      <c r="H14" s="19">
        <v>2024</v>
      </c>
      <c r="I14" s="18">
        <f>'Ratio Analysis'!D6</f>
        <v>1</v>
      </c>
      <c r="K14" s="20"/>
    </row>
    <row r="15" spans="2:11" x14ac:dyDescent="0.25">
      <c r="B15" s="19">
        <v>2025</v>
      </c>
      <c r="C15" s="18">
        <f>'Ratio Analysis'!E7</f>
        <v>0.13723155787285879</v>
      </c>
      <c r="E15" s="19">
        <v>2025</v>
      </c>
      <c r="F15" s="18">
        <f>'Ratio Analysis'!E8</f>
        <v>0.19696316027179317</v>
      </c>
      <c r="H15" s="19">
        <v>2025</v>
      </c>
      <c r="I15" s="18">
        <f>'Ratio Analysis'!E6</f>
        <v>0.99999833322499299</v>
      </c>
      <c r="K15" s="20"/>
    </row>
    <row r="18" spans="2:3" x14ac:dyDescent="0.25">
      <c r="B18" s="35" t="s">
        <v>14</v>
      </c>
      <c r="C18" s="36"/>
    </row>
    <row r="19" spans="2:3" x14ac:dyDescent="0.25">
      <c r="B19" s="19">
        <v>2023</v>
      </c>
      <c r="C19" s="18">
        <f>'Ratio Analysis'!C9</f>
        <v>8.2626580645161291E-2</v>
      </c>
    </row>
    <row r="20" spans="2:3" x14ac:dyDescent="0.25">
      <c r="B20" s="19">
        <v>2024</v>
      </c>
      <c r="C20" s="18">
        <f>'Ratio Analysis'!D9</f>
        <v>4.8179492063492063E-2</v>
      </c>
    </row>
    <row r="21" spans="2:3" x14ac:dyDescent="0.25">
      <c r="B21" s="19">
        <v>2025</v>
      </c>
      <c r="C21" s="18">
        <f>'Ratio Analysis'!E9</f>
        <v>9.5231746031746042E-2</v>
      </c>
    </row>
  </sheetData>
  <mergeCells count="7">
    <mergeCell ref="H6:I6"/>
    <mergeCell ref="H12:I12"/>
    <mergeCell ref="B18:C18"/>
    <mergeCell ref="B6:C6"/>
    <mergeCell ref="E6:F6"/>
    <mergeCell ref="B12:C12"/>
    <mergeCell ref="E12:F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workbookViewId="0">
      <selection activeCell="B3" sqref="B3:E4"/>
    </sheetView>
  </sheetViews>
  <sheetFormatPr defaultRowHeight="15" x14ac:dyDescent="0.25"/>
  <cols>
    <col min="5" max="5" width="10.85546875" customWidth="1"/>
    <col min="6" max="6" width="53.5703125" customWidth="1"/>
  </cols>
  <sheetData>
    <row r="3" spans="1:14" ht="15.75" x14ac:dyDescent="0.25">
      <c r="B3" s="31" t="s">
        <v>23</v>
      </c>
      <c r="C3" s="31"/>
      <c r="D3" s="31"/>
      <c r="E3" s="31"/>
    </row>
    <row r="4" spans="1:14" ht="15.75" x14ac:dyDescent="0.25">
      <c r="B4" s="31" t="s">
        <v>22</v>
      </c>
      <c r="C4" s="31"/>
      <c r="D4" s="31"/>
      <c r="E4" s="31"/>
    </row>
    <row r="5" spans="1:14" ht="47.25" x14ac:dyDescent="0.25">
      <c r="A5" s="24">
        <v>1</v>
      </c>
      <c r="B5" s="32" t="s">
        <v>24</v>
      </c>
      <c r="C5" s="32"/>
      <c r="D5" s="32"/>
      <c r="E5" s="32"/>
      <c r="F5" s="25" t="s">
        <v>31</v>
      </c>
      <c r="G5" s="2"/>
      <c r="H5" s="2"/>
      <c r="I5" s="2"/>
      <c r="J5" s="2"/>
      <c r="K5" s="2"/>
      <c r="L5" s="2"/>
      <c r="M5" s="2"/>
      <c r="N5" s="2"/>
    </row>
    <row r="6" spans="1:14" ht="63" x14ac:dyDescent="0.25">
      <c r="A6" s="24">
        <v>2</v>
      </c>
      <c r="B6" s="32" t="s">
        <v>25</v>
      </c>
      <c r="C6" s="32"/>
      <c r="D6" s="32"/>
      <c r="E6" s="32"/>
      <c r="F6" s="25" t="s">
        <v>26</v>
      </c>
    </row>
    <row r="7" spans="1:14" ht="47.25" x14ac:dyDescent="0.25">
      <c r="A7" s="24">
        <v>3</v>
      </c>
      <c r="B7" s="32" t="s">
        <v>27</v>
      </c>
      <c r="C7" s="32"/>
      <c r="D7" s="32"/>
      <c r="E7" s="32"/>
      <c r="F7" s="26" t="s">
        <v>28</v>
      </c>
    </row>
    <row r="8" spans="1:14" ht="31.5" x14ac:dyDescent="0.25">
      <c r="A8" s="24">
        <v>4</v>
      </c>
      <c r="B8" s="32" t="s">
        <v>29</v>
      </c>
      <c r="C8" s="32"/>
      <c r="D8" s="32"/>
      <c r="E8" s="32"/>
      <c r="F8" s="27" t="s">
        <v>30</v>
      </c>
    </row>
  </sheetData>
  <mergeCells count="6">
    <mergeCell ref="B8:E8"/>
    <mergeCell ref="B3:E3"/>
    <mergeCell ref="B4:E4"/>
    <mergeCell ref="B5:E5"/>
    <mergeCell ref="B6:E6"/>
    <mergeCell ref="B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Financial Data</vt:lpstr>
      <vt:lpstr>Ratio Analysis</vt:lpstr>
      <vt:lpstr>Dashboard</vt:lpstr>
      <vt:lpstr>Financial 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sopiii</dc:creator>
  <cp:lastModifiedBy>Windows User</cp:lastModifiedBy>
  <dcterms:created xsi:type="dcterms:W3CDTF">2026-07-26T13:16:43Z</dcterms:created>
  <dcterms:modified xsi:type="dcterms:W3CDTF">2026-08-04T13:44:09Z</dcterms:modified>
</cp:coreProperties>
</file>